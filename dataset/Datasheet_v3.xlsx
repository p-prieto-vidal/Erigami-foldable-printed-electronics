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https://tuenl-my.sharepoint.com/personal/p_prieto_vidal_student_tue_nl/Documents/MASTERS/2025-2026/S2/Research project Q3/LAST MONTH/files/final files/"/>
    </mc:Choice>
  </mc:AlternateContent>
  <xr:revisionPtr revIDLastSave="100" documentId="8_{BE512070-3362-CF45-AAC7-7D29FBA073C6}" xr6:coauthVersionLast="47" xr6:coauthVersionMax="47" xr10:uidLastSave="{2D42AE17-DC4D-DB4A-8C10-F3687C1C2345}"/>
  <bookViews>
    <workbookView xWindow="0" yWindow="500" windowWidth="28800" windowHeight="16360" tabRatio="500" activeTab="5" xr2:uid="{00000000-000D-0000-FFFF-FFFF00000000}"/>
  </bookViews>
  <sheets>
    <sheet name="Experiment Log" sheetId="1" r:id="rId1"/>
    <sheet name="Medidas" sheetId="2" r:id="rId2"/>
    <sheet name="Fold Pattern Reference" sheetId="3" r:id="rId3"/>
    <sheet name="Cycle Resistance Tracker" sheetId="4" r:id="rId4"/>
    <sheet name="Literature Reference" sheetId="5" r:id="rId5"/>
    <sheet name="Printer Calibration Log" sheetId="6" r:id="rId6"/>
    <sheet name="GRAPHS" sheetId="7" r:id="rId7"/>
    <sheet name="CHARTS" sheetId="8" r:id="rId8"/>
  </sheets>
  <definedNames>
    <definedName name="_xlnm._FilterDatabase" localSheetId="0" hidden="1">'Experiment Log'!$A$3:$AB$25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0" i="1" l="1"/>
  <c r="O102" i="2"/>
  <c r="I44" i="4"/>
  <c r="H44" i="4"/>
  <c r="G44" i="4"/>
  <c r="F44" i="4"/>
  <c r="E44" i="4"/>
  <c r="D44" i="4"/>
  <c r="C44" i="4"/>
  <c r="B44" i="4"/>
  <c r="I43" i="4"/>
  <c r="H43" i="4"/>
  <c r="G43" i="4"/>
  <c r="F43" i="4"/>
  <c r="E43" i="4"/>
  <c r="D43" i="4"/>
  <c r="C43" i="4"/>
  <c r="B43" i="4"/>
  <c r="I42" i="4"/>
  <c r="H42" i="4"/>
  <c r="G42" i="4"/>
  <c r="F42" i="4"/>
  <c r="E42" i="4"/>
  <c r="D42" i="4"/>
  <c r="C42" i="4"/>
  <c r="B42" i="4"/>
  <c r="I41" i="4"/>
  <c r="H41" i="4"/>
  <c r="G41" i="4"/>
  <c r="F41" i="4"/>
  <c r="E41" i="4"/>
  <c r="D41" i="4"/>
  <c r="C41" i="4"/>
  <c r="B41" i="4"/>
  <c r="I40" i="4"/>
  <c r="H40" i="4"/>
  <c r="G40" i="4"/>
  <c r="F40" i="4"/>
  <c r="E40" i="4"/>
  <c r="D40" i="4"/>
  <c r="C40" i="4"/>
  <c r="B40" i="4"/>
  <c r="I39" i="4"/>
  <c r="H39" i="4"/>
  <c r="G39" i="4"/>
  <c r="F39" i="4"/>
  <c r="E39" i="4"/>
  <c r="D39" i="4"/>
  <c r="C39" i="4"/>
  <c r="B39" i="4"/>
  <c r="I38" i="4"/>
  <c r="H38" i="4"/>
  <c r="G38" i="4"/>
  <c r="F38" i="4"/>
  <c r="E38" i="4"/>
  <c r="D38" i="4"/>
  <c r="C38" i="4"/>
  <c r="B38" i="4"/>
  <c r="I37" i="4"/>
  <c r="H37" i="4"/>
  <c r="G37" i="4"/>
  <c r="F37" i="4"/>
  <c r="E37" i="4"/>
  <c r="D37" i="4"/>
  <c r="C37" i="4"/>
  <c r="B37" i="4"/>
  <c r="I36" i="4"/>
  <c r="H36" i="4"/>
  <c r="G36" i="4"/>
  <c r="F36" i="4"/>
  <c r="E36" i="4"/>
  <c r="D36" i="4"/>
  <c r="C36" i="4"/>
  <c r="B36" i="4"/>
  <c r="I33" i="4"/>
  <c r="H33" i="4"/>
  <c r="G33" i="4"/>
  <c r="F33" i="4"/>
  <c r="E33" i="4"/>
  <c r="D33" i="4"/>
  <c r="C33" i="4"/>
  <c r="B33" i="4"/>
  <c r="I32" i="4"/>
  <c r="H32" i="4"/>
  <c r="G32" i="4"/>
  <c r="F32" i="4"/>
  <c r="E32" i="4"/>
  <c r="D32" i="4"/>
  <c r="C32" i="4"/>
  <c r="B32" i="4"/>
  <c r="I31" i="4"/>
  <c r="H31" i="4"/>
  <c r="G31" i="4"/>
  <c r="F31" i="4"/>
  <c r="E31" i="4"/>
  <c r="D31" i="4"/>
  <c r="C31" i="4"/>
  <c r="B31" i="4"/>
  <c r="I30" i="4"/>
  <c r="H30" i="4"/>
  <c r="G30" i="4"/>
  <c r="F30" i="4"/>
  <c r="E30" i="4"/>
  <c r="D30" i="4"/>
  <c r="C30" i="4"/>
  <c r="B30" i="4"/>
  <c r="I29" i="4"/>
  <c r="H29" i="4"/>
  <c r="G29" i="4"/>
  <c r="F29" i="4"/>
  <c r="E29" i="4"/>
  <c r="D29" i="4"/>
  <c r="C29" i="4"/>
  <c r="B29" i="4"/>
  <c r="I28" i="4"/>
  <c r="H28" i="4"/>
  <c r="G28" i="4"/>
  <c r="F28" i="4"/>
  <c r="E28" i="4"/>
  <c r="D28" i="4"/>
  <c r="C28" i="4"/>
  <c r="B28" i="4"/>
  <c r="I27" i="4"/>
  <c r="H27" i="4"/>
  <c r="G27" i="4"/>
  <c r="F27" i="4"/>
  <c r="E27" i="4"/>
  <c r="D27" i="4"/>
  <c r="C27" i="4"/>
  <c r="B27" i="4"/>
  <c r="I26" i="4"/>
  <c r="H26" i="4"/>
  <c r="G26" i="4"/>
  <c r="F26" i="4"/>
  <c r="E26" i="4"/>
  <c r="D26" i="4"/>
  <c r="C26" i="4"/>
  <c r="B26" i="4"/>
  <c r="P151" i="2"/>
  <c r="Q151" i="2" s="1"/>
  <c r="R151" i="2" s="1"/>
  <c r="O151" i="2"/>
  <c r="T151" i="2" s="1"/>
  <c r="T150" i="2"/>
  <c r="P150" i="2"/>
  <c r="Q150" i="2" s="1"/>
  <c r="R150" i="2" s="1"/>
  <c r="S150" i="2" s="1"/>
  <c r="O150" i="2"/>
  <c r="T149" i="2"/>
  <c r="Q149" i="2"/>
  <c r="R149" i="2" s="1"/>
  <c r="S149" i="2" s="1"/>
  <c r="P149" i="2"/>
  <c r="O149" i="2"/>
  <c r="P148" i="2"/>
  <c r="Q148" i="2" s="1"/>
  <c r="R148" i="2" s="1"/>
  <c r="O148" i="2"/>
  <c r="T148" i="2" s="1"/>
  <c r="P147" i="2"/>
  <c r="Q147" i="2" s="1"/>
  <c r="R147" i="2" s="1"/>
  <c r="O147" i="2"/>
  <c r="T147" i="2" s="1"/>
  <c r="T144" i="2"/>
  <c r="P144" i="2"/>
  <c r="Q144" i="2" s="1"/>
  <c r="R144" i="2" s="1"/>
  <c r="S144" i="2" s="1"/>
  <c r="O144" i="2"/>
  <c r="T143" i="2"/>
  <c r="Q143" i="2"/>
  <c r="R143" i="2" s="1"/>
  <c r="S143" i="2" s="1"/>
  <c r="P143" i="2"/>
  <c r="O143" i="2"/>
  <c r="P142" i="2"/>
  <c r="Q142" i="2" s="1"/>
  <c r="R142" i="2" s="1"/>
  <c r="O142" i="2"/>
  <c r="T142" i="2" s="1"/>
  <c r="P141" i="2"/>
  <c r="Q141" i="2" s="1"/>
  <c r="R141" i="2" s="1"/>
  <c r="O141" i="2"/>
  <c r="T141" i="2" s="1"/>
  <c r="T140" i="2"/>
  <c r="P140" i="2"/>
  <c r="Q140" i="2" s="1"/>
  <c r="R140" i="2" s="1"/>
  <c r="S140" i="2" s="1"/>
  <c r="O140" i="2"/>
  <c r="T137" i="2"/>
  <c r="Q137" i="2"/>
  <c r="R137" i="2" s="1"/>
  <c r="S137" i="2" s="1"/>
  <c r="P137" i="2"/>
  <c r="O137" i="2"/>
  <c r="P136" i="2"/>
  <c r="Q136" i="2" s="1"/>
  <c r="R136" i="2" s="1"/>
  <c r="O136" i="2"/>
  <c r="T136" i="2" s="1"/>
  <c r="P135" i="2"/>
  <c r="Q135" i="2" s="1"/>
  <c r="R135" i="2" s="1"/>
  <c r="O135" i="2"/>
  <c r="T135" i="2" s="1"/>
  <c r="T134" i="2"/>
  <c r="P134" i="2"/>
  <c r="Q134" i="2" s="1"/>
  <c r="R134" i="2" s="1"/>
  <c r="S134" i="2" s="1"/>
  <c r="O134" i="2"/>
  <c r="T133" i="2"/>
  <c r="Q133" i="2"/>
  <c r="R133" i="2" s="1"/>
  <c r="S133" i="2" s="1"/>
  <c r="P133" i="2"/>
  <c r="O133" i="2"/>
  <c r="P130" i="2"/>
  <c r="Q130" i="2" s="1"/>
  <c r="R130" i="2" s="1"/>
  <c r="O130" i="2"/>
  <c r="T130" i="2" s="1"/>
  <c r="P129" i="2"/>
  <c r="Q129" i="2" s="1"/>
  <c r="R129" i="2" s="1"/>
  <c r="O129" i="2"/>
  <c r="T129" i="2" s="1"/>
  <c r="T128" i="2"/>
  <c r="P128" i="2"/>
  <c r="Q128" i="2" s="1"/>
  <c r="R128" i="2" s="1"/>
  <c r="S128" i="2" s="1"/>
  <c r="O128" i="2"/>
  <c r="T127" i="2"/>
  <c r="Q127" i="2"/>
  <c r="R127" i="2" s="1"/>
  <c r="S127" i="2" s="1"/>
  <c r="P127" i="2"/>
  <c r="O127" i="2"/>
  <c r="P126" i="2"/>
  <c r="Q126" i="2" s="1"/>
  <c r="R126" i="2" s="1"/>
  <c r="O126" i="2"/>
  <c r="T126" i="2" s="1"/>
  <c r="P123" i="2"/>
  <c r="Q123" i="2" s="1"/>
  <c r="R123" i="2" s="1"/>
  <c r="O123" i="2"/>
  <c r="T123" i="2" s="1"/>
  <c r="T122" i="2"/>
  <c r="P122" i="2"/>
  <c r="Q122" i="2" s="1"/>
  <c r="R122" i="2" s="1"/>
  <c r="S122" i="2" s="1"/>
  <c r="O122" i="2"/>
  <c r="T121" i="2"/>
  <c r="Q121" i="2"/>
  <c r="R121" i="2" s="1"/>
  <c r="S121" i="2" s="1"/>
  <c r="P121" i="2"/>
  <c r="O121" i="2"/>
  <c r="P120" i="2"/>
  <c r="Q120" i="2" s="1"/>
  <c r="R120" i="2" s="1"/>
  <c r="O120" i="2"/>
  <c r="T120" i="2" s="1"/>
  <c r="P119" i="2"/>
  <c r="Q119" i="2" s="1"/>
  <c r="R119" i="2" s="1"/>
  <c r="O119" i="2"/>
  <c r="T119" i="2" s="1"/>
  <c r="T116" i="2"/>
  <c r="P116" i="2"/>
  <c r="Q116" i="2" s="1"/>
  <c r="R116" i="2" s="1"/>
  <c r="S116" i="2" s="1"/>
  <c r="O116" i="2"/>
  <c r="T115" i="2"/>
  <c r="Q115" i="2"/>
  <c r="R115" i="2" s="1"/>
  <c r="S115" i="2" s="1"/>
  <c r="P115" i="2"/>
  <c r="O115" i="2"/>
  <c r="P114" i="2"/>
  <c r="Q114" i="2" s="1"/>
  <c r="R114" i="2" s="1"/>
  <c r="O114" i="2"/>
  <c r="T114" i="2" s="1"/>
  <c r="P113" i="2"/>
  <c r="Q113" i="2" s="1"/>
  <c r="R113" i="2" s="1"/>
  <c r="O113" i="2"/>
  <c r="T113" i="2" s="1"/>
  <c r="T112" i="2"/>
  <c r="P112" i="2"/>
  <c r="Q112" i="2" s="1"/>
  <c r="R112" i="2" s="1"/>
  <c r="S112" i="2" s="1"/>
  <c r="O112" i="2"/>
  <c r="T109" i="2"/>
  <c r="Q109" i="2"/>
  <c r="R109" i="2" s="1"/>
  <c r="S109" i="2" s="1"/>
  <c r="P109" i="2"/>
  <c r="O109" i="2"/>
  <c r="P108" i="2"/>
  <c r="Q108" i="2" s="1"/>
  <c r="R108" i="2" s="1"/>
  <c r="O108" i="2"/>
  <c r="T108" i="2" s="1"/>
  <c r="P107" i="2"/>
  <c r="Q107" i="2" s="1"/>
  <c r="R107" i="2" s="1"/>
  <c r="O107" i="2"/>
  <c r="T107" i="2" s="1"/>
  <c r="T106" i="2"/>
  <c r="P106" i="2"/>
  <c r="Q106" i="2" s="1"/>
  <c r="R106" i="2" s="1"/>
  <c r="S106" i="2" s="1"/>
  <c r="O106" i="2"/>
  <c r="T105" i="2"/>
  <c r="Q105" i="2"/>
  <c r="R105" i="2" s="1"/>
  <c r="S105" i="2" s="1"/>
  <c r="P105" i="2"/>
  <c r="O105" i="2"/>
  <c r="P102" i="2"/>
  <c r="Q102" i="2" s="1"/>
  <c r="R102" i="2" s="1"/>
  <c r="T102" i="2"/>
  <c r="P101" i="2"/>
  <c r="Q101" i="2" s="1"/>
  <c r="R101" i="2" s="1"/>
  <c r="O101" i="2"/>
  <c r="T101" i="2" s="1"/>
  <c r="T100" i="2"/>
  <c r="P100" i="2"/>
  <c r="Q100" i="2" s="1"/>
  <c r="R100" i="2" s="1"/>
  <c r="S100" i="2" s="1"/>
  <c r="O100" i="2"/>
  <c r="T99" i="2"/>
  <c r="Q99" i="2"/>
  <c r="R99" i="2" s="1"/>
  <c r="S99" i="2" s="1"/>
  <c r="P99" i="2"/>
  <c r="O99" i="2"/>
  <c r="P96" i="2"/>
  <c r="Q96" i="2" s="1"/>
  <c r="R96" i="2" s="1"/>
  <c r="O96" i="2"/>
  <c r="T96" i="2" s="1"/>
  <c r="P95" i="2"/>
  <c r="Q95" i="2" s="1"/>
  <c r="R95" i="2" s="1"/>
  <c r="O95" i="2"/>
  <c r="T95" i="2" s="1"/>
  <c r="T94" i="2"/>
  <c r="P94" i="2"/>
  <c r="Q94" i="2" s="1"/>
  <c r="R94" i="2" s="1"/>
  <c r="S94" i="2" s="1"/>
  <c r="O94" i="2"/>
  <c r="T93" i="2"/>
  <c r="Q93" i="2"/>
  <c r="R93" i="2" s="1"/>
  <c r="S93" i="2" s="1"/>
  <c r="P93" i="2"/>
  <c r="O93" i="2"/>
  <c r="P90" i="2"/>
  <c r="Q90" i="2" s="1"/>
  <c r="R90" i="2" s="1"/>
  <c r="O90" i="2"/>
  <c r="T90" i="2" s="1"/>
  <c r="P89" i="2"/>
  <c r="Q89" i="2" s="1"/>
  <c r="R89" i="2" s="1"/>
  <c r="O89" i="2"/>
  <c r="T89" i="2" s="1"/>
  <c r="T88" i="2"/>
  <c r="P88" i="2"/>
  <c r="Q88" i="2" s="1"/>
  <c r="R88" i="2" s="1"/>
  <c r="S88" i="2" s="1"/>
  <c r="O88" i="2"/>
  <c r="T87" i="2"/>
  <c r="Q87" i="2"/>
  <c r="R87" i="2" s="1"/>
  <c r="S87" i="2" s="1"/>
  <c r="P87" i="2"/>
  <c r="O87" i="2"/>
  <c r="P86" i="2"/>
  <c r="Q86" i="2" s="1"/>
  <c r="R86" i="2" s="1"/>
  <c r="O86" i="2"/>
  <c r="T86" i="2" s="1"/>
  <c r="P85" i="2"/>
  <c r="Q85" i="2" s="1"/>
  <c r="R85" i="2" s="1"/>
  <c r="O85" i="2"/>
  <c r="T85" i="2" s="1"/>
  <c r="T82" i="2"/>
  <c r="P82" i="2"/>
  <c r="Q82" i="2" s="1"/>
  <c r="R82" i="2" s="1"/>
  <c r="S82" i="2" s="1"/>
  <c r="O82" i="2"/>
  <c r="T81" i="2"/>
  <c r="Q81" i="2"/>
  <c r="R81" i="2" s="1"/>
  <c r="S81" i="2" s="1"/>
  <c r="P81" i="2"/>
  <c r="O81" i="2"/>
  <c r="P80" i="2"/>
  <c r="Q80" i="2" s="1"/>
  <c r="R80" i="2" s="1"/>
  <c r="O80" i="2"/>
  <c r="T80" i="2" s="1"/>
  <c r="P79" i="2"/>
  <c r="Q79" i="2" s="1"/>
  <c r="R79" i="2" s="1"/>
  <c r="O79" i="2"/>
  <c r="T79" i="2" s="1"/>
  <c r="T78" i="2"/>
  <c r="P78" i="2"/>
  <c r="Q78" i="2" s="1"/>
  <c r="R78" i="2" s="1"/>
  <c r="S78" i="2" s="1"/>
  <c r="O78" i="2"/>
  <c r="T77" i="2"/>
  <c r="Q77" i="2"/>
  <c r="R77" i="2" s="1"/>
  <c r="S77" i="2" s="1"/>
  <c r="P77" i="2"/>
  <c r="O77" i="2"/>
  <c r="P74" i="2"/>
  <c r="Q74" i="2" s="1"/>
  <c r="R74" i="2" s="1"/>
  <c r="O74" i="2"/>
  <c r="T74" i="2" s="1"/>
  <c r="P73" i="2"/>
  <c r="Q73" i="2" s="1"/>
  <c r="R73" i="2" s="1"/>
  <c r="O73" i="2"/>
  <c r="T73" i="2" s="1"/>
  <c r="T72" i="2"/>
  <c r="P72" i="2"/>
  <c r="Q72" i="2" s="1"/>
  <c r="R72" i="2" s="1"/>
  <c r="S72" i="2" s="1"/>
  <c r="O72" i="2"/>
  <c r="T71" i="2"/>
  <c r="Q71" i="2"/>
  <c r="R71" i="2" s="1"/>
  <c r="S71" i="2" s="1"/>
  <c r="P71" i="2"/>
  <c r="O71" i="2"/>
  <c r="P70" i="2"/>
  <c r="Q70" i="2" s="1"/>
  <c r="R70" i="2" s="1"/>
  <c r="O70" i="2"/>
  <c r="T70" i="2" s="1"/>
  <c r="P63" i="2"/>
  <c r="Q63" i="2" s="1"/>
  <c r="R63" i="2" s="1"/>
  <c r="O63" i="2"/>
  <c r="T63" i="2" s="1"/>
  <c r="T60" i="2"/>
  <c r="P60" i="2"/>
  <c r="Q60" i="2" s="1"/>
  <c r="R60" i="2" s="1"/>
  <c r="S60" i="2" s="1"/>
  <c r="O60" i="2"/>
  <c r="T59" i="2"/>
  <c r="Q59" i="2"/>
  <c r="R59" i="2" s="1"/>
  <c r="S59" i="2" s="1"/>
  <c r="P59" i="2"/>
  <c r="O59" i="2"/>
  <c r="P58" i="2"/>
  <c r="Q58" i="2" s="1"/>
  <c r="R58" i="2" s="1"/>
  <c r="O58" i="2"/>
  <c r="T58" i="2" s="1"/>
  <c r="P57" i="2"/>
  <c r="Q57" i="2" s="1"/>
  <c r="R57" i="2" s="1"/>
  <c r="O57" i="2"/>
  <c r="T57" i="2" s="1"/>
  <c r="T56" i="2"/>
  <c r="P56" i="2"/>
  <c r="Q56" i="2" s="1"/>
  <c r="R56" i="2" s="1"/>
  <c r="S56" i="2" s="1"/>
  <c r="O56" i="2"/>
  <c r="T51" i="2"/>
  <c r="Q51" i="2"/>
  <c r="R51" i="2" s="1"/>
  <c r="S51" i="2" s="1"/>
  <c r="P51" i="2"/>
  <c r="O51" i="2"/>
  <c r="P50" i="2"/>
  <c r="Q50" i="2" s="1"/>
  <c r="R50" i="2" s="1"/>
  <c r="O50" i="2"/>
  <c r="T50" i="2" s="1"/>
  <c r="P49" i="2"/>
  <c r="Q49" i="2" s="1"/>
  <c r="R49" i="2" s="1"/>
  <c r="O49" i="2"/>
  <c r="T49" i="2" s="1"/>
  <c r="T44" i="2"/>
  <c r="P44" i="2"/>
  <c r="Q44" i="2" s="1"/>
  <c r="R44" i="2" s="1"/>
  <c r="S44" i="2" s="1"/>
  <c r="O44" i="2"/>
  <c r="T43" i="2"/>
  <c r="Q43" i="2"/>
  <c r="R43" i="2" s="1"/>
  <c r="S43" i="2" s="1"/>
  <c r="P43" i="2"/>
  <c r="O43" i="2"/>
  <c r="P42" i="2"/>
  <c r="Q42" i="2" s="1"/>
  <c r="R42" i="2" s="1"/>
  <c r="O42" i="2"/>
  <c r="T42" i="2" s="1"/>
  <c r="P39" i="2"/>
  <c r="Q39" i="2" s="1"/>
  <c r="R39" i="2" s="1"/>
  <c r="O39" i="2"/>
  <c r="T39" i="2" s="1"/>
  <c r="T38" i="2"/>
  <c r="P38" i="2"/>
  <c r="Q38" i="2" s="1"/>
  <c r="R38" i="2" s="1"/>
  <c r="S38" i="2" s="1"/>
  <c r="O38" i="2"/>
  <c r="T37" i="2"/>
  <c r="Q37" i="2"/>
  <c r="R37" i="2" s="1"/>
  <c r="S37" i="2" s="1"/>
  <c r="P37" i="2"/>
  <c r="O37" i="2"/>
  <c r="P36" i="2"/>
  <c r="Q36" i="2" s="1"/>
  <c r="R36" i="2" s="1"/>
  <c r="O36" i="2"/>
  <c r="T36" i="2" s="1"/>
  <c r="P35" i="2"/>
  <c r="Q35" i="2" s="1"/>
  <c r="R35" i="2" s="1"/>
  <c r="O35" i="2"/>
  <c r="T35" i="2" s="1"/>
  <c r="T32" i="2"/>
  <c r="P32" i="2"/>
  <c r="Q32" i="2" s="1"/>
  <c r="R32" i="2" s="1"/>
  <c r="S32" i="2" s="1"/>
  <c r="O32" i="2"/>
  <c r="T31" i="2"/>
  <c r="Q31" i="2"/>
  <c r="R31" i="2" s="1"/>
  <c r="S31" i="2" s="1"/>
  <c r="P31" i="2"/>
  <c r="O31" i="2"/>
  <c r="P30" i="2"/>
  <c r="Q30" i="2" s="1"/>
  <c r="R30" i="2" s="1"/>
  <c r="O30" i="2"/>
  <c r="T30" i="2" s="1"/>
  <c r="P29" i="2"/>
  <c r="Q29" i="2" s="1"/>
  <c r="R29" i="2" s="1"/>
  <c r="O29" i="2"/>
  <c r="T29" i="2" s="1"/>
  <c r="T28" i="2"/>
  <c r="P28" i="2"/>
  <c r="Q28" i="2" s="1"/>
  <c r="R28" i="2" s="1"/>
  <c r="S28" i="2" s="1"/>
  <c r="O28" i="2"/>
  <c r="T25" i="2"/>
  <c r="Q25" i="2"/>
  <c r="R25" i="2" s="1"/>
  <c r="S25" i="2" s="1"/>
  <c r="P25" i="2"/>
  <c r="O25" i="2"/>
  <c r="P24" i="2"/>
  <c r="Q24" i="2" s="1"/>
  <c r="R24" i="2" s="1"/>
  <c r="O24" i="2"/>
  <c r="T24" i="2" s="1"/>
  <c r="P23" i="2"/>
  <c r="Q23" i="2" s="1"/>
  <c r="R23" i="2" s="1"/>
  <c r="O23" i="2"/>
  <c r="T23" i="2" s="1"/>
  <c r="T22" i="2"/>
  <c r="P22" i="2"/>
  <c r="Q22" i="2" s="1"/>
  <c r="R22" i="2" s="1"/>
  <c r="S22" i="2" s="1"/>
  <c r="O22" i="2"/>
  <c r="T21" i="2"/>
  <c r="Q21" i="2"/>
  <c r="R21" i="2" s="1"/>
  <c r="S21" i="2" s="1"/>
  <c r="P21" i="2"/>
  <c r="O21" i="2"/>
  <c r="P18" i="2"/>
  <c r="Q18" i="2" s="1"/>
  <c r="R18" i="2" s="1"/>
  <c r="O18" i="2"/>
  <c r="T18" i="2" s="1"/>
  <c r="P17" i="2"/>
  <c r="Q17" i="2" s="1"/>
  <c r="R17" i="2" s="1"/>
  <c r="O17" i="2"/>
  <c r="T17" i="2" s="1"/>
  <c r="T16" i="2"/>
  <c r="P16" i="2"/>
  <c r="Q16" i="2" s="1"/>
  <c r="R16" i="2" s="1"/>
  <c r="S16" i="2" s="1"/>
  <c r="O16" i="2"/>
  <c r="T15" i="2"/>
  <c r="Q15" i="2"/>
  <c r="R15" i="2" s="1"/>
  <c r="S15" i="2" s="1"/>
  <c r="P15" i="2"/>
  <c r="O15" i="2"/>
  <c r="P14" i="2"/>
  <c r="Q14" i="2" s="1"/>
  <c r="R14" i="2" s="1"/>
  <c r="O14" i="2"/>
  <c r="T14" i="2" s="1"/>
  <c r="P8" i="2"/>
  <c r="Q8" i="2" s="1"/>
  <c r="R8" i="2" s="1"/>
  <c r="O8" i="2"/>
  <c r="T8" i="2" s="1"/>
  <c r="T7" i="2"/>
  <c r="P7" i="2"/>
  <c r="Q7" i="2" s="1"/>
  <c r="R7" i="2" s="1"/>
  <c r="S7" i="2" s="1"/>
  <c r="O7" i="2"/>
  <c r="P47" i="1"/>
  <c r="P46" i="1"/>
  <c r="P45" i="1"/>
  <c r="P44" i="1"/>
  <c r="P43" i="1"/>
  <c r="P42" i="1"/>
  <c r="P41" i="1"/>
  <c r="P40" i="1"/>
  <c r="P39" i="1"/>
  <c r="X25" i="1"/>
  <c r="X24" i="1"/>
  <c r="P24" i="1"/>
  <c r="X23" i="1"/>
  <c r="P23" i="1"/>
  <c r="X22" i="1"/>
  <c r="P22" i="1"/>
  <c r="X21" i="1"/>
  <c r="P21" i="1"/>
  <c r="X20" i="1"/>
  <c r="P20" i="1"/>
  <c r="X19" i="1"/>
  <c r="P19" i="1"/>
  <c r="X18" i="1"/>
  <c r="P18" i="1"/>
  <c r="P17" i="1"/>
  <c r="N17" i="1"/>
  <c r="X17" i="1" s="1"/>
  <c r="X16" i="1"/>
  <c r="P16" i="1"/>
  <c r="N16" i="1"/>
  <c r="N15" i="1"/>
  <c r="X15" i="1" s="1"/>
  <c r="N14" i="1"/>
  <c r="X14" i="1" s="1"/>
  <c r="X13" i="1"/>
  <c r="P13" i="1"/>
  <c r="X12" i="1"/>
  <c r="P12" i="1"/>
  <c r="X11" i="1"/>
  <c r="P11" i="1"/>
  <c r="P10" i="1"/>
  <c r="X9" i="1"/>
  <c r="P9" i="1"/>
  <c r="X8" i="1"/>
  <c r="P8" i="1"/>
  <c r="X7" i="1"/>
  <c r="P7" i="1"/>
  <c r="X6" i="1"/>
  <c r="P6" i="1"/>
  <c r="X5" i="1"/>
  <c r="P5" i="1"/>
  <c r="X4" i="1"/>
  <c r="P4" i="1"/>
  <c r="P14" i="1" l="1"/>
  <c r="P15" i="1"/>
  <c r="S14" i="2"/>
  <c r="S18" i="2"/>
  <c r="S24" i="2"/>
  <c r="S30" i="2"/>
  <c r="S36" i="2"/>
  <c r="S42" i="2"/>
  <c r="S50" i="2"/>
  <c r="S58" i="2"/>
  <c r="S70" i="2"/>
  <c r="S74" i="2"/>
  <c r="S80" i="2"/>
  <c r="S86" i="2"/>
  <c r="S90" i="2"/>
  <c r="S96" i="2"/>
  <c r="S102" i="2"/>
  <c r="S108" i="2"/>
  <c r="S114" i="2"/>
  <c r="S120" i="2"/>
  <c r="S126" i="2"/>
  <c r="S130" i="2"/>
  <c r="S136" i="2"/>
  <c r="S142" i="2"/>
  <c r="S148" i="2"/>
  <c r="S8" i="2"/>
  <c r="S17" i="2"/>
  <c r="S23" i="2"/>
  <c r="S29" i="2"/>
  <c r="S35" i="2"/>
  <c r="S39" i="2"/>
  <c r="S49" i="2"/>
  <c r="S57" i="2"/>
  <c r="S63" i="2"/>
  <c r="S73" i="2"/>
  <c r="S79" i="2"/>
  <c r="S85" i="2"/>
  <c r="S89" i="2"/>
  <c r="S95" i="2"/>
  <c r="S101" i="2"/>
  <c r="S107" i="2"/>
  <c r="S113" i="2"/>
  <c r="S119" i="2"/>
  <c r="S123" i="2"/>
  <c r="S129" i="2"/>
  <c r="S135" i="2"/>
  <c r="S141" i="2"/>
  <c r="S147" i="2"/>
  <c r="S151" i="2"/>
</calcChain>
</file>

<file path=xl/sharedStrings.xml><?xml version="1.0" encoding="utf-8"?>
<sst xmlns="http://schemas.openxmlformats.org/spreadsheetml/2006/main" count="1751" uniqueCount="708">
  <si>
    <t>FOLDABLE PRINTED ELECTRONICS — ANALYSIS DASHBOARD  |  M12 Research, TU/e Industrial Design</t>
  </si>
  <si>
    <t>Voltera V-One · Ailarian Sea Silver Ink · Uncoated 80g Paper · All specimens folded to 180° · dR/R0 legend: &lt;0.3 Excellent | 0.3-0.7 Acceptable | 0.7-1.0 Marginal | &gt;1.0 FAIL</t>
  </si>
  <si>
    <t>TABLE 1 — SPECIMEN MASTER DATA</t>
  </si>
  <si>
    <t>Specimen ID</t>
  </si>
  <si>
    <t>Pattern</t>
  </si>
  <si>
    <t>Orient.</t>
  </si>
  <si>
    <t>Crease/Valley</t>
  </si>
  <si>
    <t>R₀ flat (Ω)</t>
  </si>
  <si>
    <t>R @10 cyc</t>
  </si>
  <si>
    <t>R @25 cyc</t>
  </si>
  <si>
    <t>R @50 cyc</t>
  </si>
  <si>
    <t>R @100 cyc</t>
  </si>
  <si>
    <t>dR/R₀</t>
  </si>
  <si>
    <t>Fail cycle</t>
  </si>
  <si>
    <t>LED</t>
  </si>
  <si>
    <t>WB_VALLEY</t>
  </si>
  <si>
    <t>Water Bomb</t>
  </si>
  <si>
    <t>90°</t>
  </si>
  <si>
    <t>Valley</t>
  </si>
  <si>
    <t>FAIL</t>
  </si>
  <si>
    <t>n/a</t>
  </si>
  <si>
    <t>&gt;25</t>
  </si>
  <si>
    <t>N</t>
  </si>
  <si>
    <t>MO_45_CUT_L2</t>
  </si>
  <si>
    <t>Miura-Ori</t>
  </si>
  <si>
    <t>45°</t>
  </si>
  <si>
    <t>Face</t>
  </si>
  <si>
    <t>&gt;100</t>
  </si>
  <si>
    <t>MO_45_UNCUT_L2</t>
  </si>
  <si>
    <t>MO_90_UNCUT_L4</t>
  </si>
  <si>
    <t>MO_0_UNCUT_L2</t>
  </si>
  <si>
    <t>0°</t>
  </si>
  <si>
    <t>ACC_0_L1</t>
  </si>
  <si>
    <t>Accordion</t>
  </si>
  <si>
    <t>Crease</t>
  </si>
  <si>
    <t>ACC_0_L4</t>
  </si>
  <si>
    <t>ACC_90_L1</t>
  </si>
  <si>
    <t>ACC_90_L2</t>
  </si>
  <si>
    <t>&gt;10</t>
  </si>
  <si>
    <t>ACC_45_L1</t>
  </si>
  <si>
    <t>SC_90_L1</t>
  </si>
  <si>
    <t>Single Crease</t>
  </si>
  <si>
    <t>SC_90_L2</t>
  </si>
  <si>
    <t>SC_0_L1</t>
  </si>
  <si>
    <t>SC_0_L2</t>
  </si>
  <si>
    <t>KR_0_5_L1</t>
  </si>
  <si>
    <t>Kirigami</t>
  </si>
  <si>
    <t>KR_0_10_L1</t>
  </si>
  <si>
    <t>KR_0_10_L2</t>
  </si>
  <si>
    <t>KR_90_BRIDGE_L1</t>
  </si>
  <si>
    <t>KR_90_BRIDGE_L2</t>
  </si>
  <si>
    <t>&lt;10</t>
  </si>
  <si>
    <t>SC_45</t>
  </si>
  <si>
    <t>KR_0_TWISTING</t>
  </si>
  <si>
    <t>TABLE 2 — PATTERN SUMMARY: Survival Rate &amp; Average dR/R₀ at 100 cycles</t>
  </si>
  <si>
    <t># Specimens</t>
  </si>
  <si>
    <t># Survived 100c</t>
  </si>
  <si>
    <t>Survival %</t>
  </si>
  <si>
    <t>Avg R₀ (Ω)</t>
  </si>
  <si>
    <t>Avg dR/R₀ @100c</t>
  </si>
  <si>
    <t>Min dR/R₀</t>
  </si>
  <si>
    <t>Max dR/R₀</t>
  </si>
  <si>
    <t>Dominant Fail Mode</t>
  </si>
  <si>
    <t>Best Orientation</t>
  </si>
  <si>
    <t>Assessment</t>
  </si>
  <si>
    <t>Crack at Valley (45° instant fail)</t>
  </si>
  <si>
    <t>0°/90° parallel</t>
  </si>
  <si>
    <t>High risk at 45°; parallel traces marginal at &gt;1.0</t>
  </si>
  <si>
    <t>Crack at Valley; high R in valley traces</t>
  </si>
  <si>
    <t>90° Crease</t>
  </si>
  <si>
    <t>0° valley catastrophic; 90° crease survives but dR&gt;1</t>
  </si>
  <si>
    <t>None observed (all &gt;100c)</t>
  </si>
  <si>
    <t>45° uncut panel</t>
  </si>
  <si>
    <t>Best performer — panel-only traces excel</t>
  </si>
  <si>
    <t>Valley crack in bridge (KR_90)</t>
  </si>
  <si>
    <t>0° parallel small cut</t>
  </si>
  <si>
    <t>Cut size &amp; orientation critical; bridges fail fast</t>
  </si>
  <si>
    <t>Open Circuit at Valley after &gt;25c</t>
  </si>
  <si>
    <t>—</t>
  </si>
  <si>
    <t>Vertex stress too high; not viable as-is</t>
  </si>
  <si>
    <t>TABLE 3 — ELECTRICAL STUDY: R₀, Sheet Resistance &amp; Orientation Effect</t>
  </si>
  <si>
    <t>Trace L (mm)</t>
  </si>
  <si>
    <t>R₀ (Ω)</t>
  </si>
  <si>
    <t>Sheet R (Ω/sq)</t>
  </si>
  <si>
    <t>R@10</t>
  </si>
  <si>
    <t>R@25</t>
  </si>
  <si>
    <t>R@50</t>
  </si>
  <si>
    <t>R@100</t>
  </si>
  <si>
    <t>Rating</t>
  </si>
  <si>
    <t>Orientation note</t>
  </si>
  <si>
    <t>✔ Acceptable</t>
  </si>
  <si>
    <t>Shortest trace; lowest absolute R</t>
  </si>
  <si>
    <t>★ Excellent</t>
  </si>
  <si>
    <t>Diagonal on panel — minimal crease crossing</t>
  </si>
  <si>
    <t>⚠ Marginal</t>
  </si>
  <si>
    <t>Horizontal trace along stress direction</t>
  </si>
  <si>
    <t>Accidental crease reinforcement — note artifact</t>
  </si>
  <si>
    <t>Valley perpendicular; R doubles by 100c</t>
  </si>
  <si>
    <t>Same dR as 90° — orientation less critical here</t>
  </si>
  <si>
    <t>✖ FAIL (&gt;1)</t>
  </si>
  <si>
    <t>Longer trace amplifies degradation</t>
  </si>
  <si>
    <t>Multi-crease cumulative damage</t>
  </si>
  <si>
    <t>Diagonal crosses all 4 creases — worst case</t>
  </si>
  <si>
    <t>5mm cuts relieve crease stress well</t>
  </si>
  <si>
    <t>10mm cuts — larger cut less predictable</t>
  </si>
  <si>
    <t>Second line confirms 10mm instability</t>
  </si>
  <si>
    <t>160g paper + 95mm kirigami; higher base R</t>
  </si>
  <si>
    <t>TABLE 4 — CREASE vs. VALLEY ANALYSIS: Fold Type Effect on Resistance Degradation</t>
  </si>
  <si>
    <t>Specimen</t>
  </si>
  <si>
    <t>R@10c</t>
  </si>
  <si>
    <t>R@25c</t>
  </si>
  <si>
    <t>R@50c</t>
  </si>
  <si>
    <t>R@100c</t>
  </si>
  <si>
    <t>dR/R₀@100c</t>
  </si>
  <si>
    <t>Fail?</t>
  </si>
  <si>
    <t>Failure mode</t>
  </si>
  <si>
    <t>Interpretation</t>
  </si>
  <si>
    <t>YES (&gt;25c)</t>
  </si>
  <si>
    <t>Crack at valley</t>
  </si>
  <si>
    <t>Crease-measured trace: degrades fast but survives 25c</t>
  </si>
  <si>
    <t>Crack in crease</t>
  </si>
  <si>
    <t>Valley measurement: 3× R vs crease at 10c; catastrophic</t>
  </si>
  <si>
    <t>No (&gt;100c)</t>
  </si>
  <si>
    <t>None</t>
  </si>
  <si>
    <t>Crease: survives 100c at high dR/R0 (marginal)</t>
  </si>
  <si>
    <t>YES (&lt;10c)</t>
  </si>
  <si>
    <t>Immediate crack</t>
  </si>
  <si>
    <t>Valley: highest R0 + immediate failure — worst config</t>
  </si>
  <si>
    <t>Crack at Valley</t>
  </si>
  <si>
    <t>Bridge valley: R skyrockets ×22 at 10c then open</t>
  </si>
  <si>
    <t>Bridge valley L2: instant failure — worse than L1</t>
  </si>
  <si>
    <t>0° valley with 5mm cuts: only +50% at 100c — viable</t>
  </si>
  <si>
    <t>0° crease 10mm: survives but dR&gt;1 — borderline</t>
  </si>
  <si>
    <t>90° valley: survives but +206% — bad</t>
  </si>
  <si>
    <t>90° valley L2 (shorter R0): +87% — marginal</t>
  </si>
  <si>
    <t>45° valley: instant crack — never use diagonal valley</t>
  </si>
  <si>
    <t>Face (not crease/valley): +5% at 100c — excellent</t>
  </si>
  <si>
    <t>Face perpendicular: +56% — acceptable for panel routing</t>
  </si>
  <si>
    <t>TABLE 5 — RESISTANCE PROGRESSION BY CYCLE (data for charts)</t>
  </si>
  <si>
    <t>Pattern / Cycle</t>
  </si>
  <si>
    <t>N=0</t>
  </si>
  <si>
    <t>N=10</t>
  </si>
  <si>
    <t>N=25</t>
  </si>
  <si>
    <t>N=50</t>
  </si>
  <si>
    <t>N=100</t>
  </si>
  <si>
    <t>Miura-Ori (45° uncut)</t>
  </si>
  <si>
    <t>Miura-Ori (90° uncut)</t>
  </si>
  <si>
    <t>Miura-Ori (0° uncut)</t>
  </si>
  <si>
    <t>Single Crease (90° L2)</t>
  </si>
  <si>
    <t>Single Crease (0° L2)</t>
  </si>
  <si>
    <t>Accordion (90° crease)</t>
  </si>
  <si>
    <t>Accordion (45° crease)</t>
  </si>
  <si>
    <t>Kirigami (0° 5mm)</t>
  </si>
  <si>
    <t>Kirigami (0° 10mm L1)</t>
  </si>
  <si>
    <t>Kirigami (0° twisting)</t>
  </si>
  <si>
    <t>TABLE 6 — NORMALISED dR/R₀ PROGRESSION (relative to R₀=flat)</t>
  </si>
  <si>
    <t>dR/R₀ @N=10</t>
  </si>
  <si>
    <t>dR/R₀ @N=25</t>
  </si>
  <si>
    <t>dR/R₀ @N=50</t>
  </si>
  <si>
    <t>dR/R₀ @N=100</t>
  </si>
  <si>
    <t>Rating @100c</t>
  </si>
  <si>
    <t>✖ Failed</t>
  </si>
  <si>
    <t>TABLE 7 — KEY FINDINGS &amp; DESIGN RULES</t>
  </si>
  <si>
    <t>ID</t>
  </si>
  <si>
    <t>Finding</t>
  </si>
  <si>
    <t>Evidence / Detail</t>
  </si>
  <si>
    <t>Design Rule</t>
  </si>
  <si>
    <t>F1</t>
  </si>
  <si>
    <t>Miura-Ori is the best substrate for foldable circuits</t>
  </si>
  <si>
    <t>All 4 specimens survived &gt;100 cycles. Panel traces keep dR/R₀ as low as 0.05 (45° diagonal). Never route across creases.</t>
  </si>
  <si>
    <t>★ BEST PATTERN</t>
  </si>
  <si>
    <t>F2</t>
  </si>
  <si>
    <t>Valley folds are the primary failure mechanism</t>
  </si>
  <si>
    <t>Every specimen with a trace directly on a valley fold (ACC_0_L4, ACC_90_L2, KR_90_BRIDGE, WB_VALLEY) failed before 25 cycles. dR/R₀ undefined (open circuit).</t>
  </si>
  <si>
    <t>⚠ DESIGN RULE: Avoid valley routing</t>
  </si>
  <si>
    <t>F3</t>
  </si>
  <si>
    <t>45° diagonal traces on crease structures are high-risk</t>
  </si>
  <si>
    <t>SC_45 failed &lt;10 cycles. ACC_45_L1 has dR/R₀=2.69 (worst survivor). Diagonal traces cross more crease/valley lines simultaneously.</t>
  </si>
  <si>
    <t>⚠ AVOID 45° on SC/ACC</t>
  </si>
  <si>
    <t>F4</t>
  </si>
  <si>
    <t>Kirigami cut size matters critically</t>
  </si>
  <si>
    <t>5mm cuts (KR_0_5_L1): dR/R₀=0.50 — acceptable. 10mm cuts: dR/R₀=1.18–1.28 — failed. Bridge orientation (90°): instant failure. Optimal: 5–8mm cuts, 0° parallel.</t>
  </si>
  <si>
    <t>✔ Use 5mm cuts, 0° orientation</t>
  </si>
  <si>
    <t>F5</t>
  </si>
  <si>
    <t>Water Bomb base is not viable for circuit routing</t>
  </si>
  <si>
    <t>Single specimen fails at &gt;25c with open circuit at vertex. Vertex stress concentration too high for silver ink traces on uncoated paper.</t>
  </si>
  <si>
    <t>✖ NOT VIABLE as-is</t>
  </si>
  <si>
    <t>F6</t>
  </si>
  <si>
    <t>Oven curing (75°C) correlates with higher absolute R₀</t>
  </si>
  <si>
    <t>Accordion specimens (oven-cured) show R₀=18–221Ω. Air-cured specimens show lower average R₀. Higher curing temp may reduce ink percolation on uncoated paper.</t>
  </si>
  <si>
    <t>⚑ Investigate curing further</t>
  </si>
  <si>
    <t>F7</t>
  </si>
  <si>
    <t>Trace orientation effect is pattern-dependent</t>
  </si>
  <si>
    <t>On Miura panels: 45° best, 0° worst (dR/R₀ 0.05 vs 0.82). On Single Crease: orientation matters less (both ~0.87) IF trace avoids valley crossing.</t>
  </si>
  <si>
    <t>→ Context-specific design</t>
  </si>
  <si>
    <t>F8</t>
  </si>
  <si>
    <t>Sheet resistance ranges 2.5–28.6 Ω/sq across specimens</t>
  </si>
  <si>
    <t>MO_90_UNCUT_L4 lowest at 2.51 Ω/sq (short trace, 1 pass). ACC_0_L1 highest at 49.17 Ω/sq (oven cured). Consistent with 1-pass silver ink on uncoated paper.</t>
  </si>
  <si>
    <t>→ Reference for trace length planning</t>
  </si>
  <si>
    <t>CHARTS</t>
  </si>
  <si>
    <t>FOLDABLE PRINTED ELECTRONICS — EXPERIMENT DATABASE  |  M12 Research, TU/e Industrial Design</t>
  </si>
  <si>
    <t>SPECIMEN ID</t>
  </si>
  <si>
    <t>MATERIAL PARAMS</t>
  </si>
  <si>
    <t>FOLD GEOMETRY</t>
  </si>
  <si>
    <t>ELECTRICAL — FLAT</t>
  </si>
  <si>
    <t>ELECTRICAL — FOLD CYCLES</t>
  </si>
  <si>
    <t>OUTCOME</t>
  </si>
  <si>
    <t>NOTES</t>
  </si>
  <si>
    <t>Date</t>
  </si>
  <si>
    <t>Paper Type</t>
  </si>
  <si>
    <t>Grammage g/m2</t>
  </si>
  <si>
    <t>Ink Passes</t>
  </si>
  <si>
    <t>Curing Temp C</t>
  </si>
  <si>
    <t>Pre-scored?</t>
  </si>
  <si>
    <t>Fold Pattern</t>
  </si>
  <si>
    <t>Trace Orientation</t>
  </si>
  <si>
    <t>Fold Angle deg</t>
  </si>
  <si>
    <t>Crease or Valley</t>
  </si>
  <si>
    <t>Bend Radius mm</t>
  </si>
  <si>
    <t>Kirigami Cut mm</t>
  </si>
  <si>
    <t>R0 flat Ohm</t>
  </si>
  <si>
    <t>Trace Length mm</t>
  </si>
  <si>
    <t>Sheet R0 Ohm/sq</t>
  </si>
  <si>
    <t>R at 90 deg</t>
  </si>
  <si>
    <t>R at 135 deg</t>
  </si>
  <si>
    <t>R at 180 deg</t>
  </si>
  <si>
    <t>R @ 10 cycles</t>
  </si>
  <si>
    <t>R @ 25 cycles</t>
  </si>
  <si>
    <t>R @ 50 cycles</t>
  </si>
  <si>
    <t>R @ 100 cycles</t>
  </si>
  <si>
    <t>dR/R0 at 100 cyc</t>
  </si>
  <si>
    <t>Fail cycle #</t>
  </si>
  <si>
    <t>Failure Mode</t>
  </si>
  <si>
    <t>LED pass Y/N</t>
  </si>
  <si>
    <t>Notes / Photo ref</t>
  </si>
  <si>
    <t>Uncoated 80g</t>
  </si>
  <si>
    <t>Air (20ºC)</t>
  </si>
  <si>
    <t>Yes</t>
  </si>
  <si>
    <t>Waterbomb base</t>
  </si>
  <si>
    <t>90deg (perpendicular)</t>
  </si>
  <si>
    <t>-</t>
  </si>
  <si>
    <t>Open Circuit at a Valley</t>
  </si>
  <si>
    <t>WaterBoom bottom — 25/50/100c total failure no data.</t>
  </si>
  <si>
    <t>Miura-ori</t>
  </si>
  <si>
    <t>45deg (diagonal)</t>
  </si>
  <si>
    <t>Accidental reinforcement in the crease while printing.</t>
  </si>
  <si>
    <t>45deg (diagonal panel)</t>
  </si>
  <si>
    <t>0deg (horiz. on panel)</t>
  </si>
  <si>
    <t>face</t>
  </si>
  <si>
    <t>Parallel accordion</t>
  </si>
  <si>
    <t>90deg (vert. on panel)</t>
  </si>
  <si>
    <t>Crack of the ink at a Valley.</t>
  </si>
  <si>
    <t>0.5mm in a valley.</t>
  </si>
  <si>
    <t>Crack of the ink in a crease</t>
  </si>
  <si>
    <t>Same circuit but measures in a valley.</t>
  </si>
  <si>
    <t>Inmediate crack.</t>
  </si>
  <si>
    <t>Crease measures. Rest of the sample does not conduct.</t>
  </si>
  <si>
    <t>Single crease</t>
  </si>
  <si>
    <t>34.78</t>
  </si>
  <si>
    <t>Kirigami-parallel</t>
  </si>
  <si>
    <t>Crack in the Valley</t>
  </si>
  <si>
    <t>Crease and Valley in the same sample. Valley fail.</t>
  </si>
  <si>
    <t>Uncoated 160g</t>
  </si>
  <si>
    <t>No</t>
  </si>
  <si>
    <t>Kirigami-Miura</t>
  </si>
  <si>
    <t>0deg (parallel)</t>
  </si>
  <si>
    <t>LEGEND</t>
  </si>
  <si>
    <t>Blue text = input (you enter)   |   Black = formula (auto-calculated)   |   Yellow fill = required entry</t>
  </si>
  <si>
    <t>dR/R0 interpretation:  &lt; 0.3 excellent  |  0.3-0.7 acceptable  |  0.7-1.0 marginal  |  &gt; 1.0 or FAIL = failed specimen</t>
  </si>
  <si>
    <t>HOJA DE MEDIDAS — Análisis estadístico · Test de Grubbs (ISO 5725-2, α = 0.05)</t>
  </si>
  <si>
    <t>Referencia: Grubbs, F.E. (1969). Procedures for Detecting Outlying Observations in Samples. Technometrics, 11(1), 1–21. | ISO 5725-2:2019 · Valores críticos G α=0.05</t>
  </si>
  <si>
    <t>Valores críticos G (α=0.05): n=3: G=1.155  n=4: G=1.481  n=5: G=1.715  n=6: G=1.887  n=7: G=2.02  n=8: G=2.126  n=9: G=2.215  n=10: G=2.29  n=11: G=2.355  n=12: G=2.412  n=13: G=2.462  n=14: G=2.507  n=15: G=2.549</t>
  </si>
  <si>
    <t>Muestra / Ciclos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</si>
  <si>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</si>
  <si>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</si>
  <si>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</si>
  <si>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</si>
  <si>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</si>
  <si>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</si>
  <si>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</si>
  <si>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</si>
  <si>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</si>
  <si>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</si>
  <si>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G detectado</t>
  </si>
  <si>
    <t>n total</t>
  </si>
  <si>
    <t>n válido</t>
  </si>
  <si>
    <t>Media (Ω)</t>
  </si>
  <si>
    <t>Desv.Est s</t>
  </si>
  <si>
    <t>Incert. u</t>
  </si>
  <si>
    <t>U 95% (±Ω)</t>
  </si>
  <si>
    <t>Resultado</t>
  </si>
  <si>
    <t>CV%</t>
  </si>
  <si>
    <t>WaterBoom — top</t>
  </si>
  <si>
    <t xml:space="preserve">  flat</t>
  </si>
  <si>
    <t>1.705 (G_crit=2.29)</t>
  </si>
  <si>
    <t xml:space="preserve">  10 ciclos</t>
  </si>
  <si>
    <t>2.232 (G_crit=2.29)</t>
  </si>
  <si>
    <t xml:space="preserve">  25 ciclos</t>
  </si>
  <si>
    <t>X — fallo total</t>
  </si>
  <si>
    <t xml:space="preserve">  50 ciclos</t>
  </si>
  <si>
    <t>— sin datos</t>
  </si>
  <si>
    <t xml:space="preserve">  100 ciclos</t>
  </si>
  <si>
    <t>MO 45º con corte — corte 2</t>
  </si>
  <si>
    <t>1.655 (G_crit=2.29)</t>
  </si>
  <si>
    <t>1.601 (G_crit=2.29)</t>
  </si>
  <si>
    <t>1.682 (G_crit=2.29)</t>
  </si>
  <si>
    <t>1.683 (G_crit=2.29)</t>
  </si>
  <si>
    <t>2.410 (G_crit=2.29)</t>
  </si>
  <si>
    <t>MO 45º sin cortar — corte 2</t>
  </si>
  <si>
    <t>1.965 (G_crit=2.29)</t>
  </si>
  <si>
    <t>2.121 (G_crit=2.29)</t>
  </si>
  <si>
    <t>2.254 (G_crit=2.29)</t>
  </si>
  <si>
    <t>1.709 (G_crit=2.29)</t>
  </si>
  <si>
    <t>1.875 (G_crit=2.29)</t>
  </si>
  <si>
    <t>MO 90º sin cortar — corte 4</t>
  </si>
  <si>
    <t>1.938 (G_crit=2.29)</t>
  </si>
  <si>
    <t>2.028 (G_crit=2.29)</t>
  </si>
  <si>
    <t>2.127 (G_crit=2.29)</t>
  </si>
  <si>
    <t>1.061 (G_crit=2.29)</t>
  </si>
  <si>
    <t>1.544 (G_crit=2.29)</t>
  </si>
  <si>
    <t>MO 0º sin cortar — corte 2</t>
  </si>
  <si>
    <t>1.859 (G_crit=2.29)</t>
  </si>
  <si>
    <t>1.775 (G_crit=2.29)</t>
  </si>
  <si>
    <t>1.669 (G_crit=2.29)</t>
  </si>
  <si>
    <t>1.952 (G_crit=2.29)</t>
  </si>
  <si>
    <t>1.796 (G_crit=2.29)</t>
  </si>
  <si>
    <t>ACC 0º — corte 1</t>
  </si>
  <si>
    <t>1.414 (G_crit=2.29)</t>
  </si>
  <si>
    <t>2.823 (G_crit=2.29)</t>
  </si>
  <si>
    <t>1.899 (G_crit=2.29)</t>
  </si>
  <si>
    <t>ACC 0º — corte 4</t>
  </si>
  <si>
    <t>2.598 (G_crit=2.215)</t>
  </si>
  <si>
    <t>1.945 (G_crit=2.29)</t>
  </si>
  <si>
    <t>X</t>
  </si>
  <si>
    <t>1.578 (G_crit=1.887)</t>
  </si>
  <si>
    <t>ACC 90º — corte 1</t>
  </si>
  <si>
    <t>2.143 (G_crit=2.29)</t>
  </si>
  <si>
    <t>2.421 (G_crit=2.29)</t>
  </si>
  <si>
    <t>2.226 (G_crit=2.29)</t>
  </si>
  <si>
    <t>2.162 (G_crit=2.29)</t>
  </si>
  <si>
    <t>1.438 (G_crit=2.29)</t>
  </si>
  <si>
    <t>ACC 90º — corte 2</t>
  </si>
  <si>
    <t>1.887 (G_crit=2.29)</t>
  </si>
  <si>
    <t>ACC 45º — corte 1</t>
  </si>
  <si>
    <t>2.202 (G_crit=2.29)</t>
  </si>
  <si>
    <t>1.554 (G_crit=2.29)</t>
  </si>
  <si>
    <t>2.034 (G_crit=2.29)</t>
  </si>
  <si>
    <t>1.671 (G_crit=2.29)</t>
  </si>
  <si>
    <t>2.710 (G_crit=2.29)</t>
  </si>
  <si>
    <t>SC 90º — corte 1</t>
  </si>
  <si>
    <t>1.569 (G_crit=2.29)</t>
  </si>
  <si>
    <t>1.48 (G_crit=2.29)</t>
  </si>
  <si>
    <t>1.96 (G_crit=2.215)</t>
  </si>
  <si>
    <t>1.837 (G_crit=2.215)</t>
  </si>
  <si>
    <t>a 90º</t>
  </si>
  <si>
    <t>2.346 (G_crit=2.29)</t>
  </si>
  <si>
    <t>a 180º</t>
  </si>
  <si>
    <t>SC 90º — corte 2</t>
  </si>
  <si>
    <t>1.537 (G_crit=2.215)</t>
  </si>
  <si>
    <t>1.935 (G_crit=2.29)</t>
  </si>
  <si>
    <t>1.586 (G_crit=2.29)</t>
  </si>
  <si>
    <t>2.339 (G_crit=2.29)</t>
  </si>
  <si>
    <t>1.532 (G_crit=2.29)</t>
  </si>
  <si>
    <t>1.829 (G_crit=2.29)</t>
  </si>
  <si>
    <t>SC 0º — corte 1</t>
  </si>
  <si>
    <t>SC 0º — corte 2</t>
  </si>
  <si>
    <t>KR 5mm - linea 1</t>
  </si>
  <si>
    <t>1.813 (G_crit=2.29)</t>
  </si>
  <si>
    <t>1.879 (G_crit=2.29)</t>
  </si>
  <si>
    <t>1.674 (G_crit=2.29)</t>
  </si>
  <si>
    <t>1.998 (G_crit=2.29)</t>
  </si>
  <si>
    <t>1.865 (G_crit=2.29)</t>
  </si>
  <si>
    <t>KR 10mm - linea 1</t>
  </si>
  <si>
    <t>1.650 (G_crit=2.29)</t>
  </si>
  <si>
    <t>1.665 (G_crit=2.29)</t>
  </si>
  <si>
    <t>2.039 (G_crit=2.29)</t>
  </si>
  <si>
    <t>2.060 (G_crit=2.29)</t>
  </si>
  <si>
    <t>1.872 (G_crit=2.29)</t>
  </si>
  <si>
    <t>KR 10mm - linea 2</t>
  </si>
  <si>
    <t>2.262 (G_crit=2.29)</t>
  </si>
  <si>
    <t>1.696 (G_crit=2.29)</t>
  </si>
  <si>
    <t>1.820 (G_crit=2.29)</t>
  </si>
  <si>
    <t>1.372 (G_crit=2.29)</t>
  </si>
  <si>
    <t>1.904 (G_crit=2.29)</t>
  </si>
  <si>
    <t>KR bridge - linea 1</t>
  </si>
  <si>
    <t>2.152 (G_crit=2.29)</t>
  </si>
  <si>
    <t>2.655 (G_crit=2.29)</t>
  </si>
  <si>
    <t>2.255 (G_crit=2.29)</t>
  </si>
  <si>
    <t>KR bridge - linea 2</t>
  </si>
  <si>
    <t>1.725 (G_crit=2.29)</t>
  </si>
  <si>
    <t xml:space="preserve">SC 45º </t>
  </si>
  <si>
    <t>1,633 (G_crit=2.29)</t>
  </si>
  <si>
    <t>KR Twisting</t>
  </si>
  <si>
    <t>1,977 (G_crit=2.29)</t>
  </si>
  <si>
    <t>1,739 (G_crit=2.29)</t>
  </si>
  <si>
    <t>2,244 (G_crit=2.29)</t>
  </si>
  <si>
    <t>1,957 (G_crit=2.29)</t>
  </si>
  <si>
    <t>1,789 (G_crit=2.29)</t>
  </si>
  <si>
    <t>LEYENDA</t>
  </si>
  <si>
    <t>Fondo verde</t>
  </si>
  <si>
    <t>Medición válida — incluida en el cálculo estadístico</t>
  </si>
  <si>
    <t>Fondo rojo</t>
  </si>
  <si>
    <t>Outlier detectado por test de Grubbs (G &gt; G_crítico, α=0.05) — excluido</t>
  </si>
  <si>
    <t>Fondo amarillo</t>
  </si>
  <si>
    <t>Fallo total (X) o sin datos — fila excluida</t>
  </si>
  <si>
    <t>Valor máximo G = |xi − x̄| / s · Si G &gt; G_crítico → outlier</t>
  </si>
  <si>
    <t>Número de mediciones usadas en el cálculo (sin outliers)</t>
  </si>
  <si>
    <t>U 95%</t>
  </si>
  <si>
    <t>Incertidumbre expandida = TINV(0.05, n-1) × u   donde u = s/√n</t>
  </si>
  <si>
    <t>Coeficiente de variación: &lt; 2% excelente  |  2–5% aceptable  |  &gt; 5% revisar</t>
  </si>
  <si>
    <t>Referencia</t>
  </si>
  <si>
    <t>Grubbs (1969) Technometrics 11(1):1–21  ·  ISO 5725-2:2019</t>
  </si>
  <si>
    <t>FOLD PATTERN REFERENCE — PROPERTIES AND CIRCUIT DESIGN RULES</t>
  </si>
  <si>
    <t>DOF</t>
  </si>
  <si>
    <t>Flat-foldable</t>
  </si>
  <si>
    <t>Rigid-foldable</t>
  </si>
  <si>
    <t>Bistable</t>
  </si>
  <si>
    <t>Trace placement rule</t>
  </si>
  <si>
    <t>Key ink risk</t>
  </si>
  <si>
    <t>Expected dR/R0</t>
  </si>
  <si>
    <t>Lit. reference</t>
  </si>
  <si>
    <t>Angle study note</t>
  </si>
  <si>
    <t>1</t>
  </si>
  <si>
    <t>Either side — parallel to crease only</t>
  </si>
  <si>
    <t>Perpendicular traces crack at 180 deg</t>
  </si>
  <si>
    <t>0.1-0.3 (parallel) | &gt;1.0 (perp.)</t>
  </si>
  <si>
    <t>Lin et al., Adv. Mater. 2018</t>
  </si>
  <si>
    <t>Angle study: test 0°/45°/90°. Key question: is 45° closer to 0° or 90°? Sharp threshold or gradual curve?</t>
  </si>
  <si>
    <t>On flat faces, traces parallel to all creases</t>
  </si>
  <si>
    <t>Each crease adds cumulative dR; crease density matters</t>
  </si>
  <si>
    <t>0.2-0.6 per crease stage</t>
  </si>
  <si>
    <t>Springer 2024 (paper/fabric review)</t>
  </si>
  <si>
    <t>Angle study: test 0°/45°/90°. At 45° a single diagonal trace crosses all 4 creases — cumulative oblique stress.</t>
  </si>
  <si>
    <t>On flat panels ONLY — never across hinges</t>
  </si>
  <si>
    <t>Crease intersections — high stress concentration</t>
  </si>
  <si>
    <t>0.15-0.40 (panels only)</t>
  </si>
  <si>
    <t>Nguyen et al., npj Flex. Electron. 2021</t>
  </si>
  <si>
    <t>Angle study: test horizontal/45°/vertical on panel faces. Miura has two crease directions — both affect each orientation differently.</t>
  </si>
  <si>
    <t>Partial</t>
  </si>
  <si>
    <t>On triangular faces — avoid vertex crossing</t>
  </si>
  <si>
    <t>Vertex point — very high stress; keep traces away</t>
  </si>
  <si>
    <t>0.30-0.70</t>
  </si>
  <si>
    <t>MDPI Symmetry 2019; ASME AMR 2023</t>
  </si>
  <si>
    <t>Kirigami (cut+fold)</t>
  </si>
  <si>
    <t>1+</t>
  </si>
  <si>
    <t>Parallel to fold; cuts positioned AT crease edges</t>
  </si>
  <si>
    <t>Cut geometry — never route trace across a cut</t>
  </si>
  <si>
    <t>0.05-0.30 with 3-6mm cuts</t>
  </si>
  <si>
    <t>Yang et al., Adv. Sci. News 2020 (Natl. Taiwan U.)</t>
  </si>
  <si>
    <t>Kresling tube</t>
  </si>
  <si>
    <t>RESISTANCE vs. FOLD CYCLES — COMPARATIVE TRACKER</t>
  </si>
  <si>
    <t>Pattern  /  Cycle N</t>
  </si>
  <si>
    <t>N = 0</t>
  </si>
  <si>
    <t>N = 1</t>
  </si>
  <si>
    <t>N = 5</t>
  </si>
  <si>
    <t>N = 10</t>
  </si>
  <si>
    <t>N = 25</t>
  </si>
  <si>
    <t>N = 50</t>
  </si>
  <si>
    <t>N = 75</t>
  </si>
  <si>
    <t>N = 100</t>
  </si>
  <si>
    <t>RAW RESISTANCE (Ohm) — enter measured values</t>
  </si>
  <si>
    <t>Single crease — parallel</t>
  </si>
  <si>
    <t>Single crease — perpendicular</t>
  </si>
  <si>
    <t>Miura-ori (panel trace)</t>
  </si>
  <si>
    <t>Accordion (4 creases)</t>
  </si>
  <si>
    <t>Kirigami 3mm cuts</t>
  </si>
  <si>
    <t>Kirigami 6mm cuts</t>
  </si>
  <si>
    <t>ANGLE STUDY — Single crease (0°/45°/90°) · Accordion (0°/45°/90°) · Miura-ori (H/45°/V)</t>
  </si>
  <si>
    <t>Single crease 0° (parallel)</t>
  </si>
  <si>
    <t>Single crease 45° (diagonal)</t>
  </si>
  <si>
    <t>Single crease 90° (perp.)</t>
  </si>
  <si>
    <t>Accordion 0° (parallel)</t>
  </si>
  <si>
    <t>Accordion 45° (diagonal)</t>
  </si>
  <si>
    <t>Accordion 90° (perp.)</t>
  </si>
  <si>
    <t>Miura-ori 0° (horiz. panel)</t>
  </si>
  <si>
    <t>Miura-ori 45° (diagonal)</t>
  </si>
  <si>
    <t>Miura-ori 90° (vert. panel)</t>
  </si>
  <si>
    <t>dR/R0 (normalised change vs. flat) — auto-calculated</t>
  </si>
  <si>
    <t>ANGLE STUDY dR/R0 — auto-calculated</t>
  </si>
  <si>
    <t>dR/R0 target:  &lt; 0.30 excellent  |  0.30 - 0.70 acceptable  |  0.70 - 1.00 marginal  |  &gt; 1.00 = failed</t>
  </si>
  <si>
    <t>KEY LITERATURE — FOLDABLE PRINTED ELECTRONICS ON PAPER/CELLULOSE</t>
  </si>
  <si>
    <t>Priority</t>
  </si>
  <si>
    <t>Authors &amp; Title</t>
  </si>
  <si>
    <t>Journal / Source</t>
  </si>
  <si>
    <t>Year</t>
  </si>
  <si>
    <t>Relevant for (week/topic)</t>
  </si>
  <si>
    <t>Key finding for your project</t>
  </si>
  <si>
    <t>DOI / URL</t>
  </si>
  <si>
    <t>***READ W1</t>
  </si>
  <si>
    <t>Lin et al. — Origami electronics from cheap foldable paper: switches, supercapacitors, generators</t>
  </si>
  <si>
    <t>Advanced Materials</t>
  </si>
  <si>
    <t>2018</t>
  </si>
  <si>
    <t>Single crease, Week 1 methodology</t>
  </si>
  <si>
    <t>Fold opens/closes circuit 100s of times; practical durability proof with inexpensive metals; foundational protocol for your setup</t>
  </si>
  <si>
    <t>doi.org/10.1002/adma.201801120</t>
  </si>
  <si>
    <t>Yang et al. (Natl. Taiwan Univ.) — Kirigami paper electronics: maintaining conductivity through folding</t>
  </si>
  <si>
    <t>Advanced Science News</t>
  </si>
  <si>
    <t>2020</t>
  </si>
  <si>
    <t>Kirigami design rule, Week 2</t>
  </si>
  <si>
    <t>Relief cuts at crease = only 30% dR at full fold vs. open circuit without cuts. Direct design rule for silver ink trace routing.</t>
  </si>
  <si>
    <t>advancedsciencenews.com/kirigami-paper-electronics</t>
  </si>
  <si>
    <t>Nguyen et al. — Miura-ori enabled stretchable circuit boards (MO-SCB)</t>
  </si>
  <si>
    <t>npj Flexible Electronics</t>
  </si>
  <si>
    <t>2021</t>
  </si>
  <si>
    <t>Miura-ori circuit design, Week 2</t>
  </si>
  <si>
    <t>Strain localised at creases; traces on panels survive; flat+rigid+developable properties make it compatible with printed boards</t>
  </si>
  <si>
    <t>doi.org/10.1038/s41528-021-00099-8</t>
  </si>
  <si>
    <t>Leanza et al. — Origami electronic membranes: shape-morphable multi-modal sensing</t>
  </si>
  <si>
    <t>Device (Cell Press)</t>
  </si>
  <si>
    <t>2024</t>
  </si>
  <si>
    <t>Fold library structure, Week 1-3</t>
  </si>
  <si>
    <t>6 patterns compared (Miura, Kresling, flasher, etc.); sensing + switching by shape reconfiguration; direct template for your library</t>
  </si>
  <si>
    <t>doi.org/10.1016/j.device.2024.100439</t>
  </si>
  <si>
    <t>**READ W2</t>
  </si>
  <si>
    <t>Sitti et al. — Characterisation of electrically conductive silver ink on flexible substrates</t>
  </si>
  <si>
    <t>Microelectronics Reliability</t>
  </si>
  <si>
    <t>2009</t>
  </si>
  <si>
    <t>Measurement methodology, Week 1</t>
  </si>
  <si>
    <t>Sheet R 0.04-0.13 Ohm/sq; bending test protocol; dR increases with cycles — foundational protocol paper for your database</t>
  </si>
  <si>
    <t>doi.org/10.1016/j.microrel.2009.03.006</t>
  </si>
  <si>
    <t>Wang et al. — Programmable wood-based origami electronics (cellulose substrate)</t>
  </si>
  <si>
    <t>Nature Communications</t>
  </si>
  <si>
    <t>Cellulose substrate reference, Week 2</t>
  </si>
  <si>
    <t>Cellulose ink on transparent wood veneer; sequential Miura folding; human motion sensor demo — closest analogue to your material</t>
  </si>
  <si>
    <t>doi.org/10.1038/s41467-024-53708-1</t>
  </si>
  <si>
    <t>Tao et al. — Engineering by cuts: kirigami principle for metamaterials and sensors</t>
  </si>
  <si>
    <t>Advanced Science</t>
  </si>
  <si>
    <t>2023</t>
  </si>
  <si>
    <t>Kirigami pattern library, Week 2</t>
  </si>
  <si>
    <t>Comprehensive kirigami mechanics review; cut geometry design space; applications in sensors and soft robotics</t>
  </si>
  <si>
    <t>doi.org/10.1002/advs.202204733</t>
  </si>
  <si>
    <t>ASME — Origami with rotational symmetry: Kresling, Waterbomb, Miura review</t>
  </si>
  <si>
    <t>ASME Applied Mechanics Reviews</t>
  </si>
  <si>
    <t>Bistable patterns, Week 3</t>
  </si>
  <si>
    <t>DOF, bistability, rigid-foldability table for all major patterns. Geometry reference you will cite in your library.</t>
  </si>
  <si>
    <t>doi.org/10.1115/1.4057350</t>
  </si>
  <si>
    <t>*REF W3</t>
  </si>
  <si>
    <t>Park et al. — Effects of curing temperature on bending durability of inkjet silver electrodes</t>
  </si>
  <si>
    <t>Sensors (MDPI / PMC)</t>
  </si>
  <si>
    <t>Curing optimisation, calibration</t>
  </si>
  <si>
    <t>170 deg C curing -&gt; 20,000+ cycles; SEM crack analysis. Reference for calibration sheet and failure mode analysis.</t>
  </si>
  <si>
    <t>pmc.ncbi.nlm.nih.gov/articles/PMC7763182</t>
  </si>
  <si>
    <t>Xu et al. — 3D-printed origami electronics using percolative conductors</t>
  </si>
  <si>
    <t>RSC Advances</t>
  </si>
  <si>
    <t>LED fold-activation demo, Week 3</t>
  </si>
  <si>
    <t>Sequential fold activates LED; strain sensors printed on paper; direct inspiration for your Week 3 demos</t>
  </si>
  <si>
    <t>doi.org/10.1039/C8RA04082F</t>
  </si>
  <si>
    <t>Sharma et al. — Tubular origami metamaterials: Kresling, Waterbomb mechanics</t>
  </si>
  <si>
    <t>2025</t>
  </si>
  <si>
    <t>Kresling geometry, Week 3</t>
  </si>
  <si>
    <t>Bistability programming; actuation forces for Kresling; comprehensive mechanics reference</t>
  </si>
  <si>
    <t>doi.org/10.1002/advs.202505089</t>
  </si>
  <si>
    <t>Jackson, Paul — Folding Techniques for Designers</t>
  </si>
  <si>
    <t>Laurence King Publishing</t>
  </si>
  <si>
    <t>2011</t>
  </si>
  <si>
    <t>Physical construction reference, all weeks</t>
  </si>
  <si>
    <t>Comprehensive crease pattern catalogue; geometric construction; parallel/accordion/module folds — already in your hands</t>
  </si>
  <si>
    <t>ISBN 978-1-85669-721-4</t>
  </si>
  <si>
    <t>***READ W1 = read in Week 1 (essential)   |   **READ W2 = read in Week 2   |   *REF W3 = reference as needed</t>
  </si>
  <si>
    <t>PRINTER CALIBRATION LOG — Voltera V-One + Ailarian Sea Silver Ink on Paper</t>
  </si>
  <si>
    <t>IDENTIFIERS</t>
  </si>
  <si>
    <t>MATERIAL</t>
  </si>
  <si>
    <t>PRINT PARAMETERS — Voltera V-One</t>
  </si>
  <si>
    <t>POST-PROCESSING</t>
  </si>
  <si>
    <t>RESULTS — Resistance by line width (Ohm)</t>
  </si>
  <si>
    <t>DOCUMENTATION</t>
  </si>
  <si>
    <t>SAMPLE_ID</t>
  </si>
  <si>
    <t>DATE</t>
  </si>
  <si>
    <t>OBJECTIVE</t>
  </si>
  <si>
    <t>SUBSTRATE_TYPE</t>
  </si>
  <si>
    <t>SUBSTRATE_PREP</t>
  </si>
  <si>
    <t>INK_BATCH</t>
  </si>
  <si>
    <t>CIRCUIT</t>
  </si>
  <si>
    <t>CIRCUIT_DESC</t>
  </si>
  <si>
    <t>PRINTER_TYPE</t>
  </si>
  <si>
    <t>INK NAME</t>
  </si>
  <si>
    <t>NOZZLE</t>
  </si>
  <si>
    <t>I_HEIGHT</t>
  </si>
  <si>
    <t>I_SPEED</t>
  </si>
  <si>
    <t>I_KICK</t>
  </si>
  <si>
    <t>I_ANTISTRINGS</t>
  </si>
  <si>
    <t>I_TRIMLENGTH</t>
  </si>
  <si>
    <t>I_SOFTSTART</t>
  </si>
  <si>
    <t>I_SOFTSTOP</t>
  </si>
  <si>
    <t>I_RHEO</t>
  </si>
  <si>
    <t>PASSES_LAYER</t>
  </si>
  <si>
    <t>DRYING_METHOD</t>
  </si>
  <si>
    <t>CURING_TIME</t>
  </si>
  <si>
    <t>SAMPLE_R (raw)</t>
  </si>
  <si>
    <t>1.2mm (Ohm)</t>
  </si>
  <si>
    <t>1mm (Ohm)</t>
  </si>
  <si>
    <t>0.8mm (Ohm)</t>
  </si>
  <si>
    <t>0.6mm (Ohm)</t>
  </si>
  <si>
    <t>0.4mm (Ohm)</t>
  </si>
  <si>
    <t>0.2mm (Ohm)</t>
  </si>
  <si>
    <t>CURVED (Ohm)</t>
  </si>
  <si>
    <t>LINEAR (Ohm)</t>
  </si>
  <si>
    <t>RESOLUTION</t>
  </si>
  <si>
    <t>DURABILITY</t>
  </si>
  <si>
    <t>ADHESION_TEST</t>
  </si>
  <si>
    <t>OBSERVATIONS</t>
  </si>
  <si>
    <t>PHOTOS</t>
  </si>
  <si>
    <t>P2_PAPER</t>
  </si>
  <si>
    <t>09/03/2026</t>
  </si>
  <si>
    <t>Test new substrate</t>
  </si>
  <si>
    <t>Printer Paper</t>
  </si>
  <si>
    <t>OLD SEA 301W</t>
  </si>
  <si>
    <t>Test_Lineas_Papel</t>
  </si>
  <si>
    <t>6 lines 35mm: 1.4/1/0.8/0.6/0.4/0.2mm</t>
  </si>
  <si>
    <t>VOLTERA V-ONE</t>
  </si>
  <si>
    <t>Ceramics</t>
  </si>
  <si>
    <t>Cut</t>
  </si>
  <si>
    <t>Air</t>
  </si>
  <si>
    <t>1.7;1.9;0.9;1;-;-</t>
  </si>
  <si>
    <t>Printability OK but need to manually push ink via software. Approx 10um per line.</t>
  </si>
  <si>
    <t>P3_PAPER</t>
  </si>
  <si>
    <t>Increase Z to 0.7mm</t>
  </si>
  <si>
    <t>0.8;-;-;-;-;-</t>
  </si>
  <si>
    <t>Calibration messes substrate. Huge kick, nozzle too separated. No printing at all.</t>
  </si>
  <si>
    <t>P4_PAPER</t>
  </si>
  <si>
    <t>Increase feedrate for better dispersion, reduce kick</t>
  </si>
  <si>
    <t>Ceramics V2</t>
  </si>
  <si>
    <t>Reduced ink at start. Nozzle distance small. Still need to manually increase flow (30um).</t>
  </si>
  <si>
    <t>P5_PAPER</t>
  </si>
  <si>
    <t>Increase feedrate, eliminate kick</t>
  </si>
  <si>
    <t>Ceramics V3</t>
  </si>
  <si>
    <t>-;-;-;-;-;-</t>
  </si>
  <si>
    <t>Small kick remains, manageable but not zero. Does not print after kick. Feedrate not controlling ink flow.</t>
  </si>
  <si>
    <t>P6_PAPER</t>
  </si>
  <si>
    <t>Reduce feedrate, zero kick, RH 0.25, softstart 0.05</t>
  </si>
  <si>
    <t>Ceramics V4</t>
  </si>
  <si>
    <t>-;0.7;1.6;3;1;0.3</t>
  </si>
  <si>
    <t>Less ink but selective flow. Not constant. Added 20um each new line. Nozzle possibly too large.</t>
  </si>
  <si>
    <t>P7_PAPER</t>
  </si>
  <si>
    <t>20/03/2026</t>
  </si>
  <si>
    <t>Z=0.2, feedrate 150, Rheo 0.5 — increase fluency</t>
  </si>
  <si>
    <t>ReSilver 102</t>
  </si>
  <si>
    <t>Ceramics V5</t>
  </si>
  <si>
    <t>2.8;5.4;11.1;9.2;3.4;3.2</t>
  </si>
  <si>
    <t>High kick, too much ink at start/end. Nozzle sweeps ink. Printer leaking. Short/thin lines not well printed.</t>
  </si>
  <si>
    <t>P8_PAPER</t>
  </si>
  <si>
    <t>Z=0.3 to avoid sweeping, Rheo 0.7, feedrate 100</t>
  </si>
  <si>
    <t>Ceramics V6</t>
  </si>
  <si>
    <t>0.3;1.3;65;2.8;7.8;0</t>
  </si>
  <si>
    <t>Software does not calculate full circuit. First sample done without paper. Kick still high.</t>
  </si>
  <si>
    <t>P9_PAPER</t>
  </si>
  <si>
    <t>Z=0.2, feedrate 150, kick 0.05 — same as P7 less kick</t>
  </si>
  <si>
    <t>Ceramics V9</t>
  </si>
  <si>
    <t>3.5;4.4;4.6;8.3;19;7.6</t>
  </si>
  <si>
    <t>Nozzle still sweeps ink. Strings present — test antistring parameter next.</t>
  </si>
  <si>
    <t>P10_PAPER</t>
  </si>
  <si>
    <t>Same as P9 but nozzle 0.2mm</t>
  </si>
  <si>
    <t>0.2mm</t>
  </si>
  <si>
    <t>65;7.5;4.4;9.5;16;57.4</t>
  </si>
  <si>
    <t>Really well printed. Small strings at end. High curing period needed.</t>
  </si>
  <si>
    <t>P7_PAPER_C</t>
  </si>
  <si>
    <t>First solvent ink calibration — curved trace test</t>
  </si>
  <si>
    <t>1.5 (curved); 1.6 (linear)</t>
  </si>
  <si>
    <t>Curved and linear trace baseline for solvent ink.</t>
  </si>
  <si>
    <t>P10_PAPER_C</t>
  </si>
  <si>
    <t>Curved trace test — nozzle 0.2mm</t>
  </si>
  <si>
    <t>414 (curved)</t>
  </si>
  <si>
    <t>Extremely high R on curved trace — likely open circuit or ink discontinuity.</t>
  </si>
  <si>
    <t>GUIA DE PARAMETROS — Voltera V-One</t>
  </si>
  <si>
    <t>Altura de la aguja sobre el sustrato (mm).</t>
  </si>
  <si>
    <t>Objetivo paper: 0.2mm. Si muy bajo, la aguja repasa y arrastra la tinta.</t>
  </si>
  <si>
    <t>Velocidad de movimiento del cabezal en X e Y (mm/min).</t>
  </si>
  <si>
    <t>Si hay hilos, reducir. Rango util paper: 100-300.</t>
  </si>
  <si>
    <t>Impulso de tinta al inicio de cada linea.</t>
  </si>
  <si>
    <t>Objetivo paper: ~0.05. A mayor valor, mas gota al inicio.</t>
  </si>
  <si>
    <t>Controla los hilos que dejan las tintas densas al levantar la aguja.</t>
  </si>
  <si>
    <t>Corta el flujo al terminar la linea.</t>
  </si>
  <si>
    <t>Recorta el inicio y fin de la ruta para controlar excesos de tinta.</t>
  </si>
  <si>
    <t>Valor 50 funciona bien para lineas de 35mm.</t>
  </si>
  <si>
    <t>Aceleracion gradual del movimiento y presion al iniciar la linea.</t>
  </si>
  <si>
    <t>Evita la gota gigante al principio. Valor 0.05 recomendado.</t>
  </si>
  <si>
    <t>Deceleracion gradual al terminar la linea.</t>
  </si>
  <si>
    <t>Evita gota al final de la traza. Valor 0.15 recomendado.</t>
  </si>
  <si>
    <t>Base de flujo del dispensador — controla la presion constante sobre la tinta.</t>
  </si>
  <si>
    <t>A mayor densidad de tinta, mayor valor. Ceramics V9: 0.5.</t>
  </si>
  <si>
    <t>CHARTS — Resistance (Ω) vs Fold Cycles  |  Each line = one specimen  |  M12 Research TU/e</t>
  </si>
  <si>
    <t>DATA — Chart 1: Single Crease</t>
  </si>
  <si>
    <t>Cycles</t>
  </si>
  <si>
    <t>DATA — Chart 2: Accordion</t>
  </si>
  <si>
    <t>ACC_0_L1 Crease</t>
  </si>
  <si>
    <t>ACC_0_L4 Valley</t>
  </si>
  <si>
    <t>ACC_90_L1 Crease</t>
  </si>
  <si>
    <t>ACC_90_L2 Valley</t>
  </si>
  <si>
    <t>ACC_45_L1 Crease</t>
  </si>
  <si>
    <t>DATA — Chart 3: Miura-Ori</t>
  </si>
  <si>
    <t>DATA — Chart 4: Kirigami</t>
  </si>
  <si>
    <t>KR_90_BRG_L1</t>
  </si>
  <si>
    <t>KR_90_BRG_L2</t>
  </si>
  <si>
    <t>DATA — Chart 5: Best 2 per Pattern</t>
  </si>
  <si>
    <t>DATA — Chart 6: All Survivors</t>
  </si>
  <si>
    <t>DATA — Chart 7: Crease vs Valley</t>
  </si>
  <si>
    <t>ACC_0_L1  Crease</t>
  </si>
  <si>
    <t>KR_0_10_L1 Crease</t>
  </si>
  <si>
    <t>KR_0_10_L2 Crease</t>
  </si>
  <si>
    <t>KR_TWIST Crease</t>
  </si>
  <si>
    <t>SC_90_L1 Valley</t>
  </si>
  <si>
    <t>SC_90_L2 Valley</t>
  </si>
  <si>
    <t>SC_0_L1  Valley</t>
  </si>
  <si>
    <t>SC_0_L2  Valley</t>
  </si>
  <si>
    <t>KR_0_5_L1 Valley</t>
  </si>
  <si>
    <t>KR_BRG_L1 Valley</t>
  </si>
  <si>
    <t>WB_VALLEY Valley</t>
  </si>
  <si>
    <t>CICLE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</si>
</sst>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/yyyy"/>
    <numFmt numFmtId="165" formatCode="0.00##"/>
    <numFmt numFmtId="166" formatCode="0.000"/>
    <numFmt numFmtId="167" formatCode="0.0\%"/>
    <numFmt numFmtId="168" formatCode="0.0"/>
    <numFmt numFmtId="169" formatCode="0.0000"/>
  </numFmts>
  <fonts count="41" x14ac:knownFonts="1">
    <font>
      <sz val="11"/>
      <color theme="1"/>
      <name val="Calibri"/>
      <family val="2"/>
      <charset val="1"/>
    </font>
    <font>
      <sz val="10"/>
      <color rgb="FF333333"/>
      <name val="Arial"/>
      <family val="2"/>
      <charset val="1"/>
    </font>
    <font>
      <sz val="10"/>
      <color rgb="FF0000FF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Arial"/>
      <family val="2"/>
    </font>
    <font>
      <b/>
      <sz val="8"/>
      <color rgb="FF5F5E5A"/>
      <name val="Calibri"/>
      <family val="2"/>
    </font>
    <font>
      <sz val="8"/>
      <color rgb="FF5F5E5A"/>
      <name val="Futura"/>
      <family val="2"/>
    </font>
    <font>
      <sz val="9"/>
      <color rgb="FF1A1712"/>
      <name val="Calibri"/>
      <family val="2"/>
    </font>
    <font>
      <sz val="9"/>
      <color rgb="FF1A1712"/>
      <name val="Futura"/>
      <family val="2"/>
    </font>
    <font>
      <sz val="9"/>
      <color rgb="FF5F5E5A"/>
      <name val="Futura"/>
      <family val="2"/>
    </font>
    <font>
      <sz val="9"/>
      <color rgb="FFC9811F"/>
      <name val="Futura"/>
      <family val="2"/>
    </font>
    <font>
      <i/>
      <sz val="9"/>
      <color rgb="FF5F5E5A"/>
      <name val="Calibri"/>
      <family val="2"/>
    </font>
    <font>
      <i/>
      <sz val="8"/>
      <color rgb="FF5F5E5A"/>
      <name val="Calibri"/>
      <family val="2"/>
    </font>
    <font>
      <i/>
      <sz val="8"/>
      <color rgb="FFC9811F"/>
      <name val="Calibri"/>
      <family val="2"/>
    </font>
    <font>
      <sz val="7"/>
      <color rgb="FFC9811F"/>
      <name val="Futura"/>
      <family val="2"/>
    </font>
    <font>
      <sz val="8"/>
      <color rgb="FF5F5E5A"/>
      <name val="Calibri"/>
      <family val="2"/>
    </font>
    <font>
      <sz val="8"/>
      <color rgb="FFC9811F"/>
      <name val="Futura"/>
      <family val="2"/>
    </font>
    <font>
      <sz val="8"/>
      <color rgb="FF1A1712"/>
      <name val="Futura"/>
      <family val="2"/>
    </font>
    <font>
      <i/>
      <sz val="9"/>
      <color rgb="FF993C1D"/>
      <name val="Calibri"/>
      <family val="2"/>
    </font>
    <font>
      <i/>
      <sz val="8"/>
      <color rgb="FF185FA5"/>
      <name val="Calibri"/>
      <family val="2"/>
    </font>
    <font>
      <sz val="9"/>
      <color rgb="FF5F5E5A"/>
      <name val="Calibri"/>
      <family val="2"/>
    </font>
    <font>
      <i/>
      <sz val="7"/>
      <color rgb="FF5F5E5A"/>
      <name val="Calibri"/>
      <family val="2"/>
    </font>
    <font>
      <sz val="8"/>
      <color rgb="FFFFFFFF"/>
      <name val="Futura"/>
      <family val="2"/>
    </font>
    <font>
      <sz val="9"/>
      <color rgb="FF534AB7"/>
      <name val="Futura"/>
      <family val="2"/>
    </font>
    <font>
      <sz val="9"/>
      <color rgb="FFA32D2D"/>
      <name val="Futura"/>
      <family val="2"/>
    </font>
    <font>
      <sz val="8"/>
      <color rgb="FFA32D2D"/>
      <name val="Futura"/>
      <family val="2"/>
    </font>
    <font>
      <sz val="9"/>
      <color rgb="FF0F6E56"/>
      <name val="Futura"/>
      <family val="2"/>
    </font>
    <font>
      <sz val="9"/>
      <color rgb="FF993C1D"/>
      <name val="Futura"/>
      <family val="2"/>
    </font>
    <font>
      <sz val="7"/>
      <color rgb="FF5F5E5A"/>
      <name val="Futura"/>
      <family val="2"/>
    </font>
    <font>
      <sz val="14"/>
      <color rgb="FFFFFFFF"/>
      <name val="Futura"/>
      <family val="2"/>
    </font>
    <font>
      <sz val="10"/>
      <color rgb="FF534AB7"/>
      <name val="Futura"/>
      <family val="2"/>
    </font>
    <font>
      <sz val="11"/>
      <color rgb="FF534AB7"/>
      <name val="Futura"/>
      <family val="2"/>
    </font>
    <font>
      <sz val="11"/>
      <color rgb="FF0F6E56"/>
      <name val="Futura"/>
      <family val="2"/>
    </font>
    <font>
      <sz val="11"/>
      <color rgb="FF993C1D"/>
      <name val="Futura"/>
      <family val="2"/>
    </font>
    <font>
      <i/>
      <sz val="9"/>
      <color rgb="FFB0A898"/>
      <name val="Calibri"/>
      <family val="2"/>
    </font>
    <font>
      <sz val="11"/>
      <color rgb="FFFFFFFF"/>
      <name val="Futura"/>
      <family val="2"/>
    </font>
    <font>
      <sz val="9"/>
      <color rgb="FF185FA5"/>
      <name val="Futura"/>
      <family val="2"/>
    </font>
    <font>
      <sz val="10"/>
      <color rgb="FFFFFFFF"/>
      <name val="Futura"/>
      <family val="2"/>
    </font>
    <font>
      <sz val="9"/>
      <color rgb="FF1A1712"/>
      <name val="Calibri"/>
      <family val="2"/>
      <scheme val="minor"/>
    </font>
    <font>
      <sz val="9"/>
      <color rgb="FF5F5E5A"/>
      <name val="Calibri"/>
      <family val="2"/>
      <scheme val="minor"/>
    </font>
    <font>
      <sz val="9"/>
      <color rgb="FFC9811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rgb="FFFEF9E7"/>
      </patternFill>
    </fill>
    <fill>
      <patternFill patternType="solid">
        <fgColor rgb="FFD5E4F0"/>
        <bgColor rgb="FFDDEAF5"/>
      </patternFill>
    </fill>
    <fill>
      <patternFill patternType="solid">
        <fgColor rgb="FFFADBD8"/>
        <bgColor rgb="FFFAD7D7"/>
      </patternFill>
    </fill>
    <fill>
      <patternFill patternType="solid">
        <fgColor rgb="FFFAD7D7"/>
        <bgColor rgb="FFFADBD8"/>
      </patternFill>
    </fill>
    <fill>
      <patternFill patternType="solid">
        <fgColor rgb="FFD9F2E3"/>
        <bgColor rgb="FFD5F5E3"/>
      </patternFill>
    </fill>
    <fill>
      <patternFill patternType="solid">
        <fgColor rgb="FFD5F5E3"/>
        <bgColor rgb="FFD9F2E3"/>
      </patternFill>
    </fill>
    <fill>
      <patternFill patternType="solid">
        <fgColor rgb="FFFDEBD0"/>
        <bgColor rgb="FFFDE8D8"/>
      </patternFill>
    </fill>
    <fill>
      <patternFill patternType="solid">
        <fgColor rgb="FFE8DAEF"/>
        <bgColor rgb="FFE0E0E0"/>
      </patternFill>
    </fill>
    <fill>
      <patternFill patternType="solid">
        <fgColor rgb="FFEAF7FC"/>
        <bgColor rgb="FFE9F6F7"/>
      </patternFill>
    </fill>
    <fill>
      <patternFill patternType="solid">
        <fgColor rgb="FFFEF9E7"/>
        <bgColor rgb="FFFFF3E0"/>
      </patternFill>
    </fill>
    <fill>
      <patternFill patternType="solid">
        <fgColor rgb="FFE9F6F7"/>
        <bgColor rgb="FFEAF7FC"/>
      </patternFill>
    </fill>
    <fill>
      <patternFill patternType="solid">
        <fgColor rgb="FFABEBC6"/>
        <bgColor rgb="FFD4EDDA"/>
      </patternFill>
    </fill>
    <fill>
      <patternFill patternType="darkGray">
        <fgColor rgb="FF47B691"/>
        <bgColor rgb="FF75B2E1"/>
      </patternFill>
    </fill>
    <fill>
      <patternFill patternType="solid">
        <fgColor rgb="FF75B2E1"/>
        <bgColor rgb="FFAAAAAA"/>
      </patternFill>
    </fill>
    <fill>
      <patternFill patternType="darkGray">
        <fgColor rgb="FFF9CA9C"/>
        <bgColor rgb="FFFDD7A4"/>
      </patternFill>
    </fill>
    <fill>
      <patternFill patternType="solid">
        <fgColor rgb="FFC398D3"/>
        <bgColor rgb="FFAAAAAA"/>
      </patternFill>
    </fill>
    <fill>
      <patternFill patternType="solid">
        <fgColor rgb="FFA569BD"/>
        <bgColor rgb="FFC398D3"/>
      </patternFill>
    </fill>
    <fill>
      <patternFill patternType="solid">
        <fgColor rgb="FFF2F3F4"/>
        <bgColor rgb="FFF2F2F2"/>
      </patternFill>
    </fill>
    <fill>
      <patternFill patternType="solid">
        <fgColor rgb="FF1A1712"/>
      </patternFill>
    </fill>
    <fill>
      <patternFill patternType="solid">
        <fgColor rgb="FFF1EDE6"/>
      </patternFill>
    </fill>
    <fill>
      <patternFill patternType="solid">
        <fgColor rgb="FF2C2A26"/>
      </patternFill>
    </fill>
    <fill>
      <patternFill patternType="solid">
        <fgColor rgb="FFF4F2FE"/>
      </patternFill>
    </fill>
    <fill>
      <patternFill patternType="solid">
        <fgColor rgb="FFFCEBEB"/>
      </patternFill>
    </fill>
    <fill>
      <patternFill patternType="solid">
        <fgColor rgb="FFFFFFFF"/>
      </patternFill>
    </fill>
    <fill>
      <patternFill patternType="solid">
        <fgColor rgb="FFEEEDFE"/>
      </patternFill>
    </fill>
    <fill>
      <patternFill patternType="solid">
        <fgColor rgb="FFFDF3E3"/>
      </patternFill>
    </fill>
    <fill>
      <patternFill patternType="solid">
        <fgColor rgb="FFE1F5EE"/>
      </patternFill>
    </fill>
    <fill>
      <patternFill patternType="solid">
        <fgColor rgb="FFFEF0E6"/>
      </patternFill>
    </fill>
    <fill>
      <patternFill patternType="solid">
        <fgColor rgb="FF252220"/>
      </patternFill>
    </fill>
    <fill>
      <patternFill patternType="solid">
        <fgColor rgb="FFEAF1F8"/>
      </patternFill>
    </fill>
    <fill>
      <patternFill patternType="solid">
        <fgColor rgb="FFF3EEF8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rgb="FFE0E0E0"/>
      </left>
      <right/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C0C1CC"/>
      </left>
      <right/>
      <top style="thin">
        <color rgb="FFC0C1CC"/>
      </top>
      <bottom style="thin">
        <color rgb="FFC0C1CC"/>
      </bottom>
      <diagonal/>
    </border>
    <border>
      <left/>
      <right/>
      <top style="thin">
        <color rgb="FFE0E0E0"/>
      </top>
      <bottom style="thin">
        <color rgb="FFE0E0E0"/>
      </bottom>
      <diagonal/>
    </border>
    <border>
      <left style="medium">
        <color rgb="FF404839"/>
      </left>
      <right style="thin">
        <color rgb="FFAAAAAA"/>
      </right>
      <top style="medium">
        <color rgb="FF404839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medium">
        <color rgb="FF404839"/>
      </top>
      <bottom style="thin">
        <color rgb="FFAAAAAA"/>
      </bottom>
      <diagonal/>
    </border>
    <border>
      <left style="thin">
        <color rgb="FFAAAAAA"/>
      </left>
      <right style="medium">
        <color rgb="FF404839"/>
      </right>
      <top style="medium">
        <color rgb="FF404839"/>
      </top>
      <bottom style="thin">
        <color rgb="FFAAAAAA"/>
      </bottom>
      <diagonal/>
    </border>
    <border>
      <left style="thin">
        <color rgb="FFAAAAAA"/>
      </left>
      <right style="medium">
        <color rgb="FF404839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medium">
        <color rgb="FF404839"/>
      </right>
      <top style="thin">
        <color rgb="FFAAAAAA"/>
      </top>
      <bottom style="medium">
        <color rgb="FF404839"/>
      </bottom>
      <diagonal/>
    </border>
    <border>
      <left/>
      <right/>
      <top style="thin">
        <color rgb="FFC0C1CC"/>
      </top>
      <bottom style="thin">
        <color rgb="FFC0C1CC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medium">
        <color rgb="FF404839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medium">
        <color rgb="FF404839"/>
      </bottom>
      <diagonal/>
    </border>
    <border>
      <left/>
      <right style="thin">
        <color rgb="FFAAAAAA"/>
      </right>
      <top style="thin">
        <color rgb="FFAAAAAA"/>
      </top>
      <bottom style="medium">
        <color rgb="FF404839"/>
      </bottom>
      <diagonal/>
    </border>
    <border>
      <left/>
      <right style="medium">
        <color rgb="FF404839"/>
      </right>
      <top style="thin">
        <color rgb="FFAAAAAA"/>
      </top>
      <bottom style="medium">
        <color rgb="FF404839"/>
      </bottom>
      <diagonal/>
    </border>
    <border>
      <left/>
      <right/>
      <top style="medium">
        <color rgb="FF404839"/>
      </top>
      <bottom style="thin">
        <color rgb="FFAAAAAA"/>
      </bottom>
      <diagonal/>
    </border>
    <border>
      <left/>
      <right style="thin">
        <color rgb="FFAAAAAA"/>
      </right>
      <top style="medium">
        <color rgb="FF404839"/>
      </top>
      <bottom style="thin">
        <color rgb="FFAAAAAA"/>
      </bottom>
      <diagonal/>
    </border>
    <border>
      <left/>
      <right style="medium">
        <color rgb="FF404839"/>
      </right>
      <top style="medium">
        <color rgb="FF404839"/>
      </top>
      <bottom style="thin">
        <color rgb="FFAAAAAA"/>
      </bottom>
      <diagonal/>
    </border>
    <border>
      <left/>
      <right/>
      <top/>
      <bottom style="thin">
        <color rgb="FFD8D2C8"/>
      </bottom>
      <diagonal/>
    </border>
    <border>
      <left style="thin">
        <color rgb="FF3A3830"/>
      </left>
      <right style="thin">
        <color rgb="FF3A3830"/>
      </right>
      <top style="thin">
        <color rgb="FF3A3830"/>
      </top>
      <bottom style="thin">
        <color rgb="FF3A3830"/>
      </bottom>
      <diagonal/>
    </border>
    <border>
      <left/>
      <right/>
      <top/>
      <bottom style="thin">
        <color rgb="FFC9811F"/>
      </bottom>
      <diagonal/>
    </border>
    <border>
      <left/>
      <right/>
      <top/>
      <bottom style="thin">
        <color rgb="FF534AB7"/>
      </bottom>
      <diagonal/>
    </border>
    <border>
      <left/>
      <right/>
      <top/>
      <bottom style="thin">
        <color rgb="FFD8D2C8"/>
      </bottom>
      <diagonal/>
    </border>
    <border>
      <left/>
      <right/>
      <top/>
      <bottom style="thin">
        <color rgb="FF534AB7"/>
      </bottom>
      <diagonal/>
    </border>
    <border>
      <left/>
      <right/>
      <top/>
      <bottom style="thin">
        <color rgb="FFC9811F"/>
      </bottom>
      <diagonal/>
    </border>
    <border>
      <left/>
      <right/>
      <top style="thin">
        <color rgb="FF3A3830"/>
      </top>
      <bottom style="thin">
        <color rgb="FF3A3830"/>
      </bottom>
      <diagonal/>
    </border>
    <border>
      <left/>
      <right style="thin">
        <color rgb="FF3A3830"/>
      </right>
      <top style="thin">
        <color rgb="FF3A3830"/>
      </top>
      <bottom style="thin">
        <color rgb="FF3A3830"/>
      </bottom>
      <diagonal/>
    </border>
    <border>
      <left style="thin">
        <color rgb="FF3A3830"/>
      </left>
      <right/>
      <top style="thin">
        <color rgb="FF3A3830"/>
      </top>
      <bottom style="thin">
        <color rgb="FF3A3830"/>
      </bottom>
      <diagonal/>
    </border>
  </borders>
  <cellStyleXfs count="1">
    <xf numFmtId="0" fontId="0" fillId="0" borderId="0"/>
  </cellStyleXfs>
  <cellXfs count="219">
    <xf numFmtId="0" fontId="0" fillId="0" borderId="0" xfId="0"/>
    <xf numFmtId="0" fontId="0" fillId="2" borderId="0" xfId="0" applyFill="1"/>
    <xf numFmtId="0" fontId="1" fillId="2" borderId="2" xfId="0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5" fontId="2" fillId="2" borderId="2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9" borderId="8" xfId="0" applyFont="1" applyFill="1" applyBorder="1" applyAlignment="1">
      <alignment horizontal="center" vertical="center" wrapText="1"/>
    </xf>
    <xf numFmtId="0" fontId="4" fillId="9" borderId="9" xfId="0" applyFont="1" applyFill="1" applyBorder="1" applyAlignment="1">
      <alignment horizontal="center" vertical="center" wrapText="1"/>
    </xf>
    <xf numFmtId="0" fontId="5" fillId="21" borderId="20" xfId="0" applyFont="1" applyFill="1" applyBorder="1" applyAlignment="1">
      <alignment horizontal="center" vertical="center"/>
    </xf>
    <xf numFmtId="164" fontId="6" fillId="21" borderId="20" xfId="0" applyNumberFormat="1" applyFont="1" applyFill="1" applyBorder="1" applyAlignment="1">
      <alignment horizontal="center" vertical="center"/>
    </xf>
    <xf numFmtId="0" fontId="7" fillId="21" borderId="20" xfId="0" applyFont="1" applyFill="1" applyBorder="1" applyAlignment="1">
      <alignment horizontal="left" vertical="center"/>
    </xf>
    <xf numFmtId="165" fontId="7" fillId="21" borderId="20" xfId="0" applyNumberFormat="1" applyFont="1" applyFill="1" applyBorder="1" applyAlignment="1">
      <alignment horizontal="left" vertical="center"/>
    </xf>
    <xf numFmtId="2" fontId="8" fillId="21" borderId="20" xfId="0" applyNumberFormat="1" applyFont="1" applyFill="1" applyBorder="1" applyAlignment="1">
      <alignment horizontal="right" vertical="center"/>
    </xf>
    <xf numFmtId="0" fontId="9" fillId="21" borderId="20" xfId="0" applyFont="1" applyFill="1" applyBorder="1" applyAlignment="1">
      <alignment horizontal="center" vertical="center"/>
    </xf>
    <xf numFmtId="0" fontId="10" fillId="21" borderId="20" xfId="0" applyFont="1" applyFill="1" applyBorder="1" applyAlignment="1">
      <alignment horizontal="center" vertical="center"/>
    </xf>
    <xf numFmtId="0" fontId="11" fillId="21" borderId="20" xfId="0" applyFont="1" applyFill="1" applyBorder="1" applyAlignment="1">
      <alignment horizontal="left" vertical="center" wrapText="1"/>
    </xf>
    <xf numFmtId="0" fontId="12" fillId="21" borderId="20" xfId="0" applyFont="1" applyFill="1" applyBorder="1" applyAlignment="1">
      <alignment horizontal="left" vertical="center" wrapText="1"/>
    </xf>
    <xf numFmtId="164" fontId="6" fillId="25" borderId="20" xfId="0" applyNumberFormat="1" applyFont="1" applyFill="1" applyBorder="1" applyAlignment="1">
      <alignment horizontal="center" vertical="center"/>
    </xf>
    <xf numFmtId="0" fontId="7" fillId="25" borderId="20" xfId="0" applyFont="1" applyFill="1" applyBorder="1" applyAlignment="1">
      <alignment horizontal="left" vertical="center"/>
    </xf>
    <xf numFmtId="165" fontId="7" fillId="25" borderId="20" xfId="0" applyNumberFormat="1" applyFont="1" applyFill="1" applyBorder="1" applyAlignment="1">
      <alignment horizontal="left" vertical="center"/>
    </xf>
    <xf numFmtId="2" fontId="8" fillId="25" borderId="20" xfId="0" applyNumberFormat="1" applyFont="1" applyFill="1" applyBorder="1" applyAlignment="1">
      <alignment horizontal="right" vertical="center"/>
    </xf>
    <xf numFmtId="0" fontId="9" fillId="25" borderId="20" xfId="0" applyFont="1" applyFill="1" applyBorder="1" applyAlignment="1">
      <alignment horizontal="center" vertical="center"/>
    </xf>
    <xf numFmtId="0" fontId="10" fillId="25" borderId="20" xfId="0" applyFont="1" applyFill="1" applyBorder="1" applyAlignment="1">
      <alignment horizontal="center" vertical="center"/>
    </xf>
    <xf numFmtId="0" fontId="11" fillId="25" borderId="20" xfId="0" applyFont="1" applyFill="1" applyBorder="1" applyAlignment="1">
      <alignment horizontal="left" vertical="center" wrapText="1"/>
    </xf>
    <xf numFmtId="0" fontId="3" fillId="25" borderId="20" xfId="0" applyFont="1" applyFill="1" applyBorder="1" applyAlignment="1">
      <alignment horizontal="center" vertical="center"/>
    </xf>
    <xf numFmtId="0" fontId="12" fillId="25" borderId="20" xfId="0" applyFont="1" applyFill="1" applyBorder="1" applyAlignment="1">
      <alignment horizontal="left" vertical="center" wrapText="1"/>
    </xf>
    <xf numFmtId="0" fontId="3" fillId="21" borderId="20" xfId="0" applyFont="1" applyFill="1" applyBorder="1" applyAlignment="1">
      <alignment horizontal="center" vertical="center"/>
    </xf>
    <xf numFmtId="0" fontId="13" fillId="27" borderId="22" xfId="0" applyFont="1" applyFill="1" applyBorder="1" applyAlignment="1">
      <alignment horizontal="left" vertical="center"/>
    </xf>
    <xf numFmtId="0" fontId="13" fillId="27" borderId="22" xfId="0" applyFont="1" applyFill="1" applyBorder="1"/>
    <xf numFmtId="0" fontId="6" fillId="21" borderId="20" xfId="0" applyFont="1" applyFill="1" applyBorder="1" applyAlignment="1">
      <alignment horizontal="center" vertical="center"/>
    </xf>
    <xf numFmtId="0" fontId="0" fillId="21" borderId="20" xfId="0" applyFill="1" applyBorder="1" applyAlignment="1">
      <alignment horizontal="center" vertical="center"/>
    </xf>
    <xf numFmtId="0" fontId="6" fillId="25" borderId="20" xfId="0" applyFont="1" applyFill="1" applyBorder="1" applyAlignment="1">
      <alignment horizontal="center" vertical="center"/>
    </xf>
    <xf numFmtId="0" fontId="0" fillId="25" borderId="20" xfId="0" applyFill="1" applyBorder="1" applyAlignment="1">
      <alignment horizontal="center" vertical="center"/>
    </xf>
    <xf numFmtId="0" fontId="15" fillId="21" borderId="20" xfId="0" applyFont="1" applyFill="1" applyBorder="1" applyAlignment="1">
      <alignment horizontal="left" vertical="center"/>
    </xf>
    <xf numFmtId="0" fontId="16" fillId="27" borderId="20" xfId="0" applyFont="1" applyFill="1" applyBorder="1" applyAlignment="1">
      <alignment horizontal="center" vertical="center"/>
    </xf>
    <xf numFmtId="2" fontId="17" fillId="25" borderId="20" xfId="0" applyNumberFormat="1" applyFont="1" applyFill="1" applyBorder="1" applyAlignment="1">
      <alignment horizontal="right" vertical="center"/>
    </xf>
    <xf numFmtId="166" fontId="9" fillId="21" borderId="20" xfId="0" applyNumberFormat="1" applyFont="1" applyFill="1" applyBorder="1" applyAlignment="1">
      <alignment horizontal="center" vertical="center"/>
    </xf>
    <xf numFmtId="167" fontId="9" fillId="25" borderId="20" xfId="0" applyNumberFormat="1" applyFont="1" applyFill="1" applyBorder="1" applyAlignment="1">
      <alignment horizontal="center" vertical="center"/>
    </xf>
    <xf numFmtId="2" fontId="6" fillId="25" borderId="20" xfId="0" applyNumberFormat="1" applyFont="1" applyFill="1" applyBorder="1" applyAlignment="1">
      <alignment horizontal="center" vertical="center"/>
    </xf>
    <xf numFmtId="0" fontId="8" fillId="26" borderId="20" xfId="0" applyFont="1" applyFill="1" applyBorder="1" applyAlignment="1">
      <alignment horizontal="center" vertical="center"/>
    </xf>
    <xf numFmtId="0" fontId="7" fillId="26" borderId="20" xfId="0" applyFont="1" applyFill="1" applyBorder="1" applyAlignment="1">
      <alignment horizontal="left" vertical="center" wrapText="1"/>
    </xf>
    <xf numFmtId="0" fontId="18" fillId="26" borderId="20" xfId="0" applyFont="1" applyFill="1" applyBorder="1" applyAlignment="1">
      <alignment horizontal="left" vertical="center" wrapText="1"/>
    </xf>
    <xf numFmtId="0" fontId="19" fillId="26" borderId="20" xfId="0" applyFont="1" applyFill="1" applyBorder="1" applyAlignment="1">
      <alignment horizontal="left" vertical="center" wrapText="1"/>
    </xf>
    <xf numFmtId="0" fontId="12" fillId="26" borderId="20" xfId="0" applyFont="1" applyFill="1" applyBorder="1" applyAlignment="1">
      <alignment horizontal="left" vertical="center" wrapText="1"/>
    </xf>
    <xf numFmtId="0" fontId="8" fillId="28" borderId="20" xfId="0" applyFont="1" applyFill="1" applyBorder="1" applyAlignment="1">
      <alignment horizontal="center" vertical="center"/>
    </xf>
    <xf numFmtId="0" fontId="7" fillId="28" borderId="20" xfId="0" applyFont="1" applyFill="1" applyBorder="1" applyAlignment="1">
      <alignment horizontal="left" vertical="center" wrapText="1"/>
    </xf>
    <xf numFmtId="0" fontId="18" fillId="28" borderId="20" xfId="0" applyFont="1" applyFill="1" applyBorder="1" applyAlignment="1">
      <alignment horizontal="left" vertical="center" wrapText="1"/>
    </xf>
    <xf numFmtId="0" fontId="19" fillId="28" borderId="20" xfId="0" applyFont="1" applyFill="1" applyBorder="1" applyAlignment="1">
      <alignment horizontal="left" vertical="center" wrapText="1"/>
    </xf>
    <xf numFmtId="0" fontId="12" fillId="28" borderId="20" xfId="0" applyFont="1" applyFill="1" applyBorder="1" applyAlignment="1">
      <alignment horizontal="left" vertical="center" wrapText="1"/>
    </xf>
    <xf numFmtId="0" fontId="8" fillId="29" borderId="20" xfId="0" applyFont="1" applyFill="1" applyBorder="1" applyAlignment="1">
      <alignment horizontal="center" vertical="center"/>
    </xf>
    <xf numFmtId="0" fontId="7" fillId="29" borderId="20" xfId="0" applyFont="1" applyFill="1" applyBorder="1" applyAlignment="1">
      <alignment horizontal="left" vertical="center" wrapText="1"/>
    </xf>
    <xf numFmtId="0" fontId="18" fillId="29" borderId="20" xfId="0" applyFont="1" applyFill="1" applyBorder="1" applyAlignment="1">
      <alignment horizontal="left" vertical="center" wrapText="1"/>
    </xf>
    <xf numFmtId="0" fontId="19" fillId="29" borderId="20" xfId="0" applyFont="1" applyFill="1" applyBorder="1" applyAlignment="1">
      <alignment horizontal="left" vertical="center" wrapText="1"/>
    </xf>
    <xf numFmtId="0" fontId="12" fillId="29" borderId="20" xfId="0" applyFont="1" applyFill="1" applyBorder="1" applyAlignment="1">
      <alignment horizontal="left" vertical="center" wrapText="1"/>
    </xf>
    <xf numFmtId="0" fontId="7" fillId="24" borderId="20" xfId="0" applyFont="1" applyFill="1" applyBorder="1" applyAlignment="1">
      <alignment horizontal="left" vertical="center" wrapText="1"/>
    </xf>
    <xf numFmtId="0" fontId="19" fillId="24" borderId="20" xfId="0" applyFont="1" applyFill="1" applyBorder="1" applyAlignment="1">
      <alignment horizontal="left" vertical="center" wrapText="1"/>
    </xf>
    <xf numFmtId="0" fontId="20" fillId="21" borderId="20" xfId="0" applyFont="1" applyFill="1" applyBorder="1" applyAlignment="1">
      <alignment horizontal="left" vertical="center"/>
    </xf>
    <xf numFmtId="0" fontId="0" fillId="25" borderId="20" xfId="0" applyFill="1" applyBorder="1"/>
    <xf numFmtId="0" fontId="15" fillId="21" borderId="20" xfId="0" applyFont="1" applyFill="1" applyBorder="1" applyAlignment="1">
      <alignment horizontal="center" vertical="center"/>
    </xf>
    <xf numFmtId="0" fontId="11" fillId="24" borderId="20" xfId="0" applyFont="1" applyFill="1" applyBorder="1" applyAlignment="1">
      <alignment horizontal="left" vertical="center" wrapText="1"/>
    </xf>
    <xf numFmtId="0" fontId="16" fillId="24" borderId="20" xfId="0" applyFont="1" applyFill="1" applyBorder="1" applyAlignment="1">
      <alignment horizontal="left" vertical="center" wrapText="1"/>
    </xf>
    <xf numFmtId="0" fontId="11" fillId="27" borderId="20" xfId="0" applyFont="1" applyFill="1" applyBorder="1" applyAlignment="1">
      <alignment horizontal="left" vertical="center" wrapText="1"/>
    </xf>
    <xf numFmtId="0" fontId="16" fillId="27" borderId="20" xfId="0" applyFont="1" applyFill="1" applyBorder="1" applyAlignment="1">
      <alignment horizontal="left" vertical="center" wrapText="1"/>
    </xf>
    <xf numFmtId="0" fontId="7" fillId="27" borderId="20" xfId="0" applyFont="1" applyFill="1" applyBorder="1" applyAlignment="1">
      <alignment horizontal="left" vertical="center" wrapText="1"/>
    </xf>
    <xf numFmtId="0" fontId="19" fillId="27" borderId="20" xfId="0" applyFont="1" applyFill="1" applyBorder="1" applyAlignment="1">
      <alignment horizontal="left" vertical="center" wrapText="1"/>
    </xf>
    <xf numFmtId="0" fontId="16" fillId="21" borderId="20" xfId="0" applyFont="1" applyFill="1" applyBorder="1" applyAlignment="1">
      <alignment horizontal="left" vertical="center" wrapText="1"/>
    </xf>
    <xf numFmtId="0" fontId="7" fillId="21" borderId="20" xfId="0" applyFont="1" applyFill="1" applyBorder="1" applyAlignment="1">
      <alignment horizontal="left" vertical="center" wrapText="1"/>
    </xf>
    <xf numFmtId="0" fontId="19" fillId="21" borderId="20" xfId="0" applyFont="1" applyFill="1" applyBorder="1" applyAlignment="1">
      <alignment horizontal="left" vertical="center" wrapText="1"/>
    </xf>
    <xf numFmtId="0" fontId="7" fillId="25" borderId="20" xfId="0" applyFont="1" applyFill="1" applyBorder="1" applyAlignment="1">
      <alignment horizontal="center" vertical="center"/>
    </xf>
    <xf numFmtId="165" fontId="7" fillId="25" borderId="20" xfId="0" applyNumberFormat="1" applyFont="1" applyFill="1" applyBorder="1" applyAlignment="1">
      <alignment horizontal="center" vertical="center"/>
    </xf>
    <xf numFmtId="168" fontId="8" fillId="25" borderId="20" xfId="0" applyNumberFormat="1" applyFont="1" applyFill="1" applyBorder="1" applyAlignment="1">
      <alignment horizontal="right" vertical="center"/>
    </xf>
    <xf numFmtId="0" fontId="7" fillId="21" borderId="20" xfId="0" applyFont="1" applyFill="1" applyBorder="1" applyAlignment="1">
      <alignment horizontal="center" vertical="center"/>
    </xf>
    <xf numFmtId="165" fontId="7" fillId="21" borderId="20" xfId="0" applyNumberFormat="1" applyFont="1" applyFill="1" applyBorder="1" applyAlignment="1">
      <alignment horizontal="center" vertical="center"/>
    </xf>
    <xf numFmtId="168" fontId="8" fillId="21" borderId="20" xfId="0" applyNumberFormat="1" applyFont="1" applyFill="1" applyBorder="1" applyAlignment="1">
      <alignment horizontal="right" vertical="center"/>
    </xf>
    <xf numFmtId="0" fontId="22" fillId="22" borderId="21" xfId="0" applyFont="1" applyFill="1" applyBorder="1" applyAlignment="1">
      <alignment horizontal="center" vertical="center" wrapText="1"/>
    </xf>
    <xf numFmtId="0" fontId="23" fillId="23" borderId="20" xfId="0" applyFont="1" applyFill="1" applyBorder="1" applyAlignment="1">
      <alignment horizontal="left" vertical="center"/>
    </xf>
    <xf numFmtId="0" fontId="24" fillId="24" borderId="20" xfId="0" applyFont="1" applyFill="1" applyBorder="1" applyAlignment="1">
      <alignment horizontal="center" vertical="center"/>
    </xf>
    <xf numFmtId="0" fontId="23" fillId="26" borderId="20" xfId="0" applyFont="1" applyFill="1" applyBorder="1" applyAlignment="1">
      <alignment horizontal="left" vertical="center"/>
    </xf>
    <xf numFmtId="0" fontId="8" fillId="21" borderId="20" xfId="0" applyFont="1" applyFill="1" applyBorder="1" applyAlignment="1">
      <alignment horizontal="center" vertical="center"/>
    </xf>
    <xf numFmtId="0" fontId="23" fillId="26" borderId="20" xfId="0" applyFont="1" applyFill="1" applyBorder="1" applyAlignment="1">
      <alignment horizontal="center" vertical="center"/>
    </xf>
    <xf numFmtId="0" fontId="25" fillId="24" borderId="20" xfId="0" applyFont="1" applyFill="1" applyBorder="1" applyAlignment="1">
      <alignment horizontal="center" vertical="center"/>
    </xf>
    <xf numFmtId="0" fontId="26" fillId="26" borderId="20" xfId="0" applyFont="1" applyFill="1" applyBorder="1" applyAlignment="1">
      <alignment horizontal="center" vertical="center"/>
    </xf>
    <xf numFmtId="0" fontId="24" fillId="26" borderId="20" xfId="0" applyFont="1" applyFill="1" applyBorder="1" applyAlignment="1">
      <alignment horizontal="center" vertical="center"/>
    </xf>
    <xf numFmtId="0" fontId="23" fillId="26" borderId="20" xfId="0" applyFont="1" applyFill="1" applyBorder="1" applyAlignment="1">
      <alignment horizontal="left" vertical="center" wrapText="1"/>
    </xf>
    <xf numFmtId="0" fontId="26" fillId="28" borderId="20" xfId="0" applyFont="1" applyFill="1" applyBorder="1" applyAlignment="1">
      <alignment horizontal="center" vertical="center"/>
    </xf>
    <xf numFmtId="0" fontId="24" fillId="28" borderId="20" xfId="0" applyFont="1" applyFill="1" applyBorder="1" applyAlignment="1">
      <alignment horizontal="center" vertical="center"/>
    </xf>
    <xf numFmtId="0" fontId="26" fillId="28" borderId="20" xfId="0" applyFont="1" applyFill="1" applyBorder="1" applyAlignment="1">
      <alignment horizontal="left" vertical="center" wrapText="1"/>
    </xf>
    <xf numFmtId="0" fontId="24" fillId="29" borderId="20" xfId="0" applyFont="1" applyFill="1" applyBorder="1" applyAlignment="1">
      <alignment horizontal="center" vertical="center"/>
    </xf>
    <xf numFmtId="0" fontId="10" fillId="29" borderId="20" xfId="0" applyFont="1" applyFill="1" applyBorder="1" applyAlignment="1">
      <alignment horizontal="center" vertical="center"/>
    </xf>
    <xf numFmtId="0" fontId="26" fillId="29" borderId="20" xfId="0" applyFont="1" applyFill="1" applyBorder="1" applyAlignment="1">
      <alignment horizontal="center" vertical="center"/>
    </xf>
    <xf numFmtId="0" fontId="27" fillId="29" borderId="20" xfId="0" applyFont="1" applyFill="1" applyBorder="1" applyAlignment="1">
      <alignment horizontal="left" vertical="center" wrapText="1"/>
    </xf>
    <xf numFmtId="0" fontId="22" fillId="22" borderId="21" xfId="0" applyFont="1" applyFill="1" applyBorder="1" applyAlignment="1">
      <alignment horizontal="center" vertical="center"/>
    </xf>
    <xf numFmtId="0" fontId="16" fillId="27" borderId="22" xfId="0" applyFont="1" applyFill="1" applyBorder="1" applyAlignment="1">
      <alignment horizontal="left" vertical="center"/>
    </xf>
    <xf numFmtId="0" fontId="10" fillId="27" borderId="20" xfId="0" applyFont="1" applyFill="1" applyBorder="1" applyAlignment="1">
      <alignment horizontal="center" vertical="center"/>
    </xf>
    <xf numFmtId="0" fontId="31" fillId="26" borderId="20" xfId="0" applyFont="1" applyFill="1" applyBorder="1" applyAlignment="1">
      <alignment horizontal="left" vertical="center" wrapText="1"/>
    </xf>
    <xf numFmtId="0" fontId="32" fillId="28" borderId="20" xfId="0" applyFont="1" applyFill="1" applyBorder="1" applyAlignment="1">
      <alignment horizontal="left" vertical="center" wrapText="1"/>
    </xf>
    <xf numFmtId="0" fontId="33" fillId="29" borderId="20" xfId="0" applyFont="1" applyFill="1" applyBorder="1" applyAlignment="1">
      <alignment horizontal="left" vertical="center" wrapText="1"/>
    </xf>
    <xf numFmtId="0" fontId="23" fillId="26" borderId="23" xfId="0" applyFont="1" applyFill="1" applyBorder="1" applyAlignment="1">
      <alignment horizontal="left" vertical="center"/>
    </xf>
    <xf numFmtId="0" fontId="8" fillId="24" borderId="20" xfId="0" applyFont="1" applyFill="1" applyBorder="1" applyAlignment="1">
      <alignment horizontal="left" vertical="center" wrapText="1"/>
    </xf>
    <xf numFmtId="0" fontId="8" fillId="27" borderId="20" xfId="0" applyFont="1" applyFill="1" applyBorder="1" applyAlignment="1">
      <alignment horizontal="left" vertical="center" wrapText="1"/>
    </xf>
    <xf numFmtId="0" fontId="8" fillId="21" borderId="20" xfId="0" applyFont="1" applyFill="1" applyBorder="1" applyAlignment="1">
      <alignment horizontal="left" vertical="center" wrapText="1"/>
    </xf>
    <xf numFmtId="0" fontId="35" fillId="20" borderId="0" xfId="0" applyFont="1" applyFill="1" applyAlignment="1">
      <alignment horizontal="left" vertical="center"/>
    </xf>
    <xf numFmtId="0" fontId="24" fillId="24" borderId="20" xfId="0" applyFont="1" applyFill="1" applyBorder="1" applyAlignment="1">
      <alignment horizontal="left" vertical="center"/>
    </xf>
    <xf numFmtId="0" fontId="11" fillId="4" borderId="20" xfId="0" applyFont="1" applyFill="1" applyBorder="1" applyAlignment="1">
      <alignment horizontal="left" vertical="center" wrapText="1"/>
    </xf>
    <xf numFmtId="0" fontId="11" fillId="5" borderId="20" xfId="0" applyFont="1" applyFill="1" applyBorder="1" applyAlignment="1">
      <alignment horizontal="left" vertical="center" wrapText="1"/>
    </xf>
    <xf numFmtId="0" fontId="26" fillId="28" borderId="20" xfId="0" applyFont="1" applyFill="1" applyBorder="1" applyAlignment="1">
      <alignment horizontal="left" vertical="center"/>
    </xf>
    <xf numFmtId="0" fontId="11" fillId="6" borderId="20" xfId="0" applyFont="1" applyFill="1" applyBorder="1" applyAlignment="1">
      <alignment horizontal="left" vertical="center" wrapText="1"/>
    </xf>
    <xf numFmtId="166" fontId="26" fillId="28" borderId="20" xfId="0" applyNumberFormat="1" applyFont="1" applyFill="1" applyBorder="1" applyAlignment="1">
      <alignment horizontal="right" vertical="center"/>
    </xf>
    <xf numFmtId="166" fontId="10" fillId="27" borderId="20" xfId="0" applyNumberFormat="1" applyFont="1" applyFill="1" applyBorder="1" applyAlignment="1">
      <alignment horizontal="right" vertical="center"/>
    </xf>
    <xf numFmtId="166" fontId="27" fillId="29" borderId="20" xfId="0" applyNumberFormat="1" applyFont="1" applyFill="1" applyBorder="1" applyAlignment="1">
      <alignment horizontal="right" vertical="center"/>
    </xf>
    <xf numFmtId="0" fontId="10" fillId="29" borderId="20" xfId="0" applyFont="1" applyFill="1" applyBorder="1" applyAlignment="1">
      <alignment horizontal="left" vertical="center"/>
    </xf>
    <xf numFmtId="0" fontId="11" fillId="8" borderId="20" xfId="0" applyFont="1" applyFill="1" applyBorder="1" applyAlignment="1">
      <alignment horizontal="left" vertical="center" wrapText="1"/>
    </xf>
    <xf numFmtId="166" fontId="24" fillId="24" borderId="20" xfId="0" applyNumberFormat="1" applyFont="1" applyFill="1" applyBorder="1" applyAlignment="1">
      <alignment horizontal="right" vertical="center"/>
    </xf>
    <xf numFmtId="0" fontId="36" fillId="31" borderId="20" xfId="0" applyFont="1" applyFill="1" applyBorder="1" applyAlignment="1">
      <alignment horizontal="left" vertical="center"/>
    </xf>
    <xf numFmtId="0" fontId="11" fillId="3" borderId="20" xfId="0" applyFont="1" applyFill="1" applyBorder="1" applyAlignment="1">
      <alignment horizontal="left" vertical="center" wrapText="1"/>
    </xf>
    <xf numFmtId="0" fontId="23" fillId="32" borderId="20" xfId="0" applyFont="1" applyFill="1" applyBorder="1" applyAlignment="1">
      <alignment horizontal="left" vertical="center"/>
    </xf>
    <xf numFmtId="0" fontId="11" fillId="9" borderId="20" xfId="0" applyFont="1" applyFill="1" applyBorder="1" applyAlignment="1">
      <alignment horizontal="left" vertical="center" wrapText="1"/>
    </xf>
    <xf numFmtId="2" fontId="11" fillId="4" borderId="20" xfId="0" applyNumberFormat="1" applyFont="1" applyFill="1" applyBorder="1" applyAlignment="1">
      <alignment horizontal="left" vertical="center" wrapText="1"/>
    </xf>
    <xf numFmtId="0" fontId="27" fillId="29" borderId="20" xfId="0" applyFont="1" applyFill="1" applyBorder="1" applyAlignment="1">
      <alignment horizontal="center" vertical="center"/>
    </xf>
    <xf numFmtId="0" fontId="11" fillId="10" borderId="20" xfId="0" applyFont="1" applyFill="1" applyBorder="1" applyAlignment="1">
      <alignment horizontal="left" vertical="center" wrapText="1"/>
    </xf>
    <xf numFmtId="2" fontId="24" fillId="24" borderId="20" xfId="0" applyNumberFormat="1" applyFont="1" applyFill="1" applyBorder="1" applyAlignment="1">
      <alignment horizontal="center" vertical="center"/>
    </xf>
    <xf numFmtId="2" fontId="11" fillId="8" borderId="20" xfId="0" applyNumberFormat="1" applyFont="1" applyFill="1" applyBorder="1" applyAlignment="1">
      <alignment horizontal="left" vertical="center" wrapText="1"/>
    </xf>
    <xf numFmtId="0" fontId="11" fillId="11" borderId="20" xfId="0" applyFont="1" applyFill="1" applyBorder="1" applyAlignment="1">
      <alignment horizontal="left" vertical="center" wrapText="1"/>
    </xf>
    <xf numFmtId="2" fontId="11" fillId="9" borderId="20" xfId="0" applyNumberFormat="1" applyFont="1" applyFill="1" applyBorder="1" applyAlignment="1">
      <alignment horizontal="left" vertical="center" wrapText="1"/>
    </xf>
    <xf numFmtId="2" fontId="11" fillId="3" borderId="20" xfId="0" applyNumberFormat="1" applyFont="1" applyFill="1" applyBorder="1" applyAlignment="1">
      <alignment horizontal="left" vertical="center" wrapText="1"/>
    </xf>
    <xf numFmtId="0" fontId="11" fillId="12" borderId="20" xfId="0" applyFont="1" applyFill="1" applyBorder="1" applyAlignment="1">
      <alignment horizontal="left" vertical="center" wrapText="1"/>
    </xf>
    <xf numFmtId="0" fontId="11" fillId="7" borderId="20" xfId="0" applyFont="1" applyFill="1" applyBorder="1" applyAlignment="1">
      <alignment horizontal="left" vertical="center" wrapText="1"/>
    </xf>
    <xf numFmtId="0" fontId="11" fillId="13" borderId="20" xfId="0" applyFont="1" applyFill="1" applyBorder="1" applyAlignment="1">
      <alignment horizontal="left" vertical="center" wrapText="1"/>
    </xf>
    <xf numFmtId="0" fontId="11" fillId="14" borderId="20" xfId="0" applyFont="1" applyFill="1" applyBorder="1" applyAlignment="1">
      <alignment horizontal="left" vertical="center" wrapText="1"/>
    </xf>
    <xf numFmtId="0" fontId="11" fillId="15" borderId="20" xfId="0" applyFont="1" applyFill="1" applyBorder="1" applyAlignment="1">
      <alignment horizontal="left" vertical="center" wrapText="1"/>
    </xf>
    <xf numFmtId="0" fontId="11" fillId="16" borderId="20" xfId="0" applyFont="1" applyFill="1" applyBorder="1" applyAlignment="1">
      <alignment horizontal="left" vertical="center" wrapText="1"/>
    </xf>
    <xf numFmtId="0" fontId="11" fillId="17" borderId="20" xfId="0" applyFont="1" applyFill="1" applyBorder="1" applyAlignment="1">
      <alignment horizontal="left" vertical="center" wrapText="1"/>
    </xf>
    <xf numFmtId="0" fontId="11" fillId="18" borderId="20" xfId="0" applyFont="1" applyFill="1" applyBorder="1" applyAlignment="1">
      <alignment horizontal="left" vertical="center" wrapText="1"/>
    </xf>
    <xf numFmtId="0" fontId="35" fillId="20" borderId="5" xfId="0" applyFont="1" applyFill="1" applyBorder="1" applyAlignment="1">
      <alignment horizontal="left" vertical="center"/>
    </xf>
    <xf numFmtId="0" fontId="30" fillId="26" borderId="20" xfId="0" applyFont="1" applyFill="1" applyBorder="1" applyAlignment="1">
      <alignment horizontal="center" vertical="center"/>
    </xf>
    <xf numFmtId="0" fontId="11" fillId="0" borderId="20" xfId="0" applyFont="1" applyBorder="1" applyAlignment="1">
      <alignment horizontal="left" vertical="center" wrapText="1"/>
    </xf>
    <xf numFmtId="169" fontId="9" fillId="25" borderId="20" xfId="0" applyNumberFormat="1" applyFont="1" applyFill="1" applyBorder="1" applyAlignment="1">
      <alignment horizontal="center" vertical="center"/>
    </xf>
    <xf numFmtId="169" fontId="9" fillId="21" borderId="20" xfId="0" applyNumberFormat="1" applyFont="1" applyFill="1" applyBorder="1" applyAlignment="1">
      <alignment horizontal="center" vertical="center"/>
    </xf>
    <xf numFmtId="0" fontId="15" fillId="33" borderId="20" xfId="0" applyFont="1" applyFill="1" applyBorder="1" applyAlignment="1">
      <alignment horizontal="left" vertical="center"/>
    </xf>
    <xf numFmtId="0" fontId="6" fillId="33" borderId="20" xfId="0" applyFont="1" applyFill="1" applyBorder="1" applyAlignment="1">
      <alignment horizontal="center" vertical="center"/>
    </xf>
    <xf numFmtId="0" fontId="16" fillId="33" borderId="20" xfId="0" applyFont="1" applyFill="1" applyBorder="1" applyAlignment="1">
      <alignment horizontal="center" vertical="center"/>
    </xf>
    <xf numFmtId="0" fontId="8" fillId="33" borderId="20" xfId="0" applyFont="1" applyFill="1" applyBorder="1" applyAlignment="1">
      <alignment horizontal="center" vertical="center"/>
    </xf>
    <xf numFmtId="0" fontId="9" fillId="33" borderId="20" xfId="0" applyFont="1" applyFill="1" applyBorder="1" applyAlignment="1">
      <alignment horizontal="center" vertical="center"/>
    </xf>
    <xf numFmtId="0" fontId="23" fillId="33" borderId="20" xfId="0" applyFont="1" applyFill="1" applyBorder="1" applyAlignment="1">
      <alignment horizontal="center" vertical="center"/>
    </xf>
    <xf numFmtId="0" fontId="0" fillId="33" borderId="0" xfId="0" applyFill="1"/>
    <xf numFmtId="2" fontId="38" fillId="25" borderId="20" xfId="0" applyNumberFormat="1" applyFont="1" applyFill="1" applyBorder="1" applyAlignment="1">
      <alignment horizontal="right" vertical="center"/>
    </xf>
    <xf numFmtId="2" fontId="38" fillId="21" borderId="20" xfId="0" applyNumberFormat="1" applyFont="1" applyFill="1" applyBorder="1" applyAlignment="1">
      <alignment horizontal="right" vertical="center"/>
    </xf>
    <xf numFmtId="169" fontId="39" fillId="21" borderId="20" xfId="0" applyNumberFormat="1" applyFont="1" applyFill="1" applyBorder="1" applyAlignment="1">
      <alignment horizontal="center" vertical="center"/>
    </xf>
    <xf numFmtId="0" fontId="39" fillId="21" borderId="20" xfId="0" applyFont="1" applyFill="1" applyBorder="1" applyAlignment="1">
      <alignment horizontal="center" vertical="center"/>
    </xf>
    <xf numFmtId="0" fontId="40" fillId="21" borderId="20" xfId="0" applyFont="1" applyFill="1" applyBorder="1" applyAlignment="1">
      <alignment horizontal="center" vertical="center"/>
    </xf>
    <xf numFmtId="169" fontId="39" fillId="25" borderId="20" xfId="0" applyNumberFormat="1" applyFont="1" applyFill="1" applyBorder="1" applyAlignment="1">
      <alignment horizontal="center" vertical="center"/>
    </xf>
    <xf numFmtId="0" fontId="39" fillId="25" borderId="20" xfId="0" applyFont="1" applyFill="1" applyBorder="1" applyAlignment="1">
      <alignment horizontal="center" vertical="center"/>
    </xf>
    <xf numFmtId="0" fontId="40" fillId="25" borderId="20" xfId="0" applyFont="1" applyFill="1" applyBorder="1" applyAlignment="1">
      <alignment horizontal="center" vertical="center"/>
    </xf>
    <xf numFmtId="0" fontId="29" fillId="20" borderId="1" xfId="0" applyFont="1" applyFill="1" applyBorder="1" applyAlignment="1">
      <alignment horizontal="left" vertical="center"/>
    </xf>
    <xf numFmtId="0" fontId="0" fillId="0" borderId="4" xfId="0" applyBorder="1"/>
    <xf numFmtId="0" fontId="5" fillId="21" borderId="20" xfId="0" applyFont="1" applyFill="1" applyBorder="1" applyAlignment="1">
      <alignment horizontal="center" vertical="center"/>
    </xf>
    <xf numFmtId="0" fontId="0" fillId="0" borderId="24" xfId="0" applyBorder="1"/>
    <xf numFmtId="0" fontId="12" fillId="21" borderId="20" xfId="0" applyFont="1" applyFill="1" applyBorder="1" applyAlignment="1">
      <alignment horizontal="left" vertical="center" wrapText="1"/>
    </xf>
    <xf numFmtId="0" fontId="25" fillId="24" borderId="20" xfId="0" applyFont="1" applyFill="1" applyBorder="1" applyAlignment="1">
      <alignment horizontal="center" vertical="center"/>
    </xf>
    <xf numFmtId="0" fontId="30" fillId="26" borderId="23" xfId="0" applyFont="1" applyFill="1" applyBorder="1" applyAlignment="1">
      <alignment horizontal="left" vertical="center"/>
    </xf>
    <xf numFmtId="0" fontId="0" fillId="0" borderId="25" xfId="0" applyBorder="1"/>
    <xf numFmtId="0" fontId="29" fillId="20" borderId="3" xfId="0" applyFont="1" applyFill="1" applyBorder="1" applyAlignment="1">
      <alignment horizontal="left" vertical="center"/>
    </xf>
    <xf numFmtId="0" fontId="0" fillId="0" borderId="10" xfId="0" applyBorder="1"/>
    <xf numFmtId="0" fontId="14" fillId="27" borderId="3" xfId="0" applyFont="1" applyFill="1" applyBorder="1" applyAlignment="1">
      <alignment horizontal="left" vertical="center" wrapText="1"/>
    </xf>
    <xf numFmtId="0" fontId="12" fillId="21" borderId="3" xfId="0" applyFont="1" applyFill="1" applyBorder="1" applyAlignment="1">
      <alignment horizontal="left" vertical="center" wrapText="1"/>
    </xf>
    <xf numFmtId="0" fontId="16" fillId="27" borderId="22" xfId="0" applyFont="1" applyFill="1" applyBorder="1" applyAlignment="1">
      <alignment horizontal="left" vertical="center"/>
    </xf>
    <xf numFmtId="0" fontId="0" fillId="0" borderId="26" xfId="0" applyBorder="1"/>
    <xf numFmtId="0" fontId="23" fillId="26" borderId="23" xfId="0" applyFont="1" applyFill="1" applyBorder="1" applyAlignment="1">
      <alignment horizontal="left" vertical="center"/>
    </xf>
    <xf numFmtId="0" fontId="20" fillId="21" borderId="20" xfId="0" applyFont="1" applyFill="1" applyBorder="1" applyAlignment="1">
      <alignment horizontal="left" vertical="center"/>
    </xf>
    <xf numFmtId="0" fontId="21" fillId="21" borderId="20" xfId="0" applyFont="1" applyFill="1" applyBorder="1" applyAlignment="1">
      <alignment horizontal="center" vertical="center"/>
    </xf>
    <xf numFmtId="0" fontId="7" fillId="21" borderId="23" xfId="0" applyFont="1" applyFill="1" applyBorder="1" applyAlignment="1">
      <alignment horizontal="left" vertical="center" wrapText="1"/>
    </xf>
    <xf numFmtId="0" fontId="23" fillId="26" borderId="23" xfId="0" applyFont="1" applyFill="1" applyBorder="1" applyAlignment="1">
      <alignment horizontal="left" vertical="center" wrapText="1"/>
    </xf>
    <xf numFmtId="0" fontId="28" fillId="21" borderId="20" xfId="0" applyFont="1" applyFill="1" applyBorder="1" applyAlignment="1">
      <alignment horizontal="center" vertical="center" wrapText="1"/>
    </xf>
    <xf numFmtId="0" fontId="22" fillId="22" borderId="29" xfId="0" applyFont="1" applyFill="1" applyBorder="1" applyAlignment="1">
      <alignment horizontal="center" vertical="center" wrapText="1"/>
    </xf>
    <xf numFmtId="0" fontId="22" fillId="22" borderId="27" xfId="0" applyFont="1" applyFill="1" applyBorder="1" applyAlignment="1">
      <alignment horizontal="center" vertical="center" wrapText="1"/>
    </xf>
    <xf numFmtId="0" fontId="22" fillId="22" borderId="28" xfId="0" applyFont="1" applyFill="1" applyBorder="1" applyAlignment="1">
      <alignment horizontal="center" vertical="center" wrapText="1"/>
    </xf>
    <xf numFmtId="0" fontId="22" fillId="22" borderId="21" xfId="0" applyFont="1" applyFill="1" applyBorder="1" applyAlignment="1">
      <alignment horizontal="center" vertical="center" wrapText="1"/>
    </xf>
    <xf numFmtId="0" fontId="0" fillId="0" borderId="27" xfId="0" applyBorder="1"/>
    <xf numFmtId="0" fontId="0" fillId="0" borderId="28" xfId="0" applyBorder="1"/>
    <xf numFmtId="0" fontId="29" fillId="20" borderId="0" xfId="0" applyFont="1" applyFill="1" applyAlignment="1">
      <alignment horizontal="left" vertical="center"/>
    </xf>
    <xf numFmtId="0" fontId="0" fillId="0" borderId="0" xfId="0"/>
    <xf numFmtId="0" fontId="9" fillId="21" borderId="20" xfId="0" applyFont="1" applyFill="1" applyBorder="1" applyAlignment="1">
      <alignment horizontal="center" vertical="center"/>
    </xf>
    <xf numFmtId="0" fontId="0" fillId="0" borderId="11" xfId="0" applyBorder="1"/>
    <xf numFmtId="0" fontId="0" fillId="0" borderId="13" xfId="0" applyBorder="1"/>
    <xf numFmtId="0" fontId="35" fillId="20" borderId="0" xfId="0" applyFont="1" applyFill="1" applyAlignment="1">
      <alignment horizontal="left" vertical="center"/>
    </xf>
    <xf numFmtId="0" fontId="0" fillId="0" borderId="14" xfId="0" applyBorder="1"/>
    <xf numFmtId="0" fontId="0" fillId="0" borderId="16" xfId="0" applyBorder="1"/>
    <xf numFmtId="0" fontId="8" fillId="11" borderId="20" xfId="0" applyFont="1" applyFill="1" applyBorder="1" applyAlignment="1">
      <alignment horizontal="left" vertical="center" wrapText="1"/>
    </xf>
    <xf numFmtId="0" fontId="0" fillId="0" borderId="12" xfId="0" applyBorder="1"/>
    <xf numFmtId="0" fontId="35" fillId="20" borderId="6" xfId="0" applyFont="1" applyFill="1" applyBorder="1" applyAlignment="1">
      <alignment horizontal="left" vertical="center"/>
    </xf>
    <xf numFmtId="0" fontId="0" fillId="0" borderId="17" xfId="0" applyBorder="1"/>
    <xf numFmtId="0" fontId="0" fillId="0" borderId="18" xfId="0" applyBorder="1"/>
    <xf numFmtId="0" fontId="26" fillId="28" borderId="20" xfId="0" applyFont="1" applyFill="1" applyBorder="1" applyAlignment="1">
      <alignment horizontal="center" vertical="center"/>
    </xf>
    <xf numFmtId="0" fontId="11" fillId="6" borderId="20" xfId="0" applyFont="1" applyFill="1" applyBorder="1" applyAlignment="1">
      <alignment horizontal="left" vertical="center" wrapText="1"/>
    </xf>
    <xf numFmtId="0" fontId="8" fillId="19" borderId="20" xfId="0" applyFont="1" applyFill="1" applyBorder="1" applyAlignment="1">
      <alignment horizontal="left" vertical="center" wrapText="1"/>
    </xf>
    <xf numFmtId="0" fontId="0" fillId="0" borderId="15" xfId="0" applyBorder="1"/>
    <xf numFmtId="0" fontId="23" fillId="26" borderId="20" xfId="0" applyFont="1" applyFill="1" applyBorder="1" applyAlignment="1">
      <alignment horizontal="left" vertical="center"/>
    </xf>
    <xf numFmtId="0" fontId="11" fillId="9" borderId="20" xfId="0" applyFont="1" applyFill="1" applyBorder="1" applyAlignment="1">
      <alignment horizontal="left" vertical="center" wrapText="1"/>
    </xf>
    <xf numFmtId="0" fontId="8" fillId="6" borderId="20" xfId="0" applyFont="1" applyFill="1" applyBorder="1" applyAlignment="1">
      <alignment horizontal="left" vertical="center" wrapText="1"/>
    </xf>
    <xf numFmtId="0" fontId="11" fillId="5" borderId="20" xfId="0" applyFont="1" applyFill="1" applyBorder="1" applyAlignment="1">
      <alignment horizontal="left" vertical="center" wrapText="1"/>
    </xf>
    <xf numFmtId="0" fontId="27" fillId="29" borderId="20" xfId="0" applyFont="1" applyFill="1" applyBorder="1" applyAlignment="1">
      <alignment horizontal="center" vertical="center"/>
    </xf>
    <xf numFmtId="0" fontId="8" fillId="9" borderId="20" xfId="0" applyFont="1" applyFill="1" applyBorder="1" applyAlignment="1">
      <alignment horizontal="left" vertical="center" wrapText="1"/>
    </xf>
    <xf numFmtId="0" fontId="24" fillId="24" borderId="20" xfId="0" applyFont="1" applyFill="1" applyBorder="1" applyAlignment="1">
      <alignment horizontal="center" vertical="center"/>
    </xf>
    <xf numFmtId="0" fontId="8" fillId="5" borderId="20" xfId="0" applyFont="1" applyFill="1" applyBorder="1" applyAlignment="1">
      <alignment horizontal="left" vertical="center" wrapText="1"/>
    </xf>
    <xf numFmtId="0" fontId="8" fillId="4" borderId="20" xfId="0" applyFont="1" applyFill="1" applyBorder="1" applyAlignment="1">
      <alignment horizontal="left" vertical="center" wrapText="1"/>
    </xf>
    <xf numFmtId="0" fontId="10" fillId="27" borderId="20" xfId="0" applyFont="1" applyFill="1" applyBorder="1" applyAlignment="1">
      <alignment horizontal="center" vertical="center"/>
    </xf>
    <xf numFmtId="0" fontId="35" fillId="20" borderId="7" xfId="0" applyFont="1" applyFill="1" applyBorder="1" applyAlignment="1">
      <alignment horizontal="left" vertical="center"/>
    </xf>
    <xf numFmtId="0" fontId="0" fillId="0" borderId="19" xfId="0" applyBorder="1"/>
    <xf numFmtId="0" fontId="8" fillId="3" borderId="20" xfId="0" applyFont="1" applyFill="1" applyBorder="1" applyAlignment="1">
      <alignment horizontal="left" vertical="center" wrapText="1"/>
    </xf>
    <xf numFmtId="0" fontId="11" fillId="11" borderId="20" xfId="0" applyFont="1" applyFill="1" applyBorder="1" applyAlignment="1">
      <alignment horizontal="left" vertical="center" wrapText="1"/>
    </xf>
    <xf numFmtId="0" fontId="11" fillId="3" borderId="20" xfId="0" applyFont="1" applyFill="1" applyBorder="1" applyAlignment="1">
      <alignment horizontal="left" vertical="center" wrapText="1"/>
    </xf>
    <xf numFmtId="0" fontId="8" fillId="8" borderId="20" xfId="0" applyFont="1" applyFill="1" applyBorder="1" applyAlignment="1">
      <alignment horizontal="left" vertical="center" wrapText="1"/>
    </xf>
    <xf numFmtId="0" fontId="11" fillId="4" borderId="20" xfId="0" applyFont="1" applyFill="1" applyBorder="1" applyAlignment="1">
      <alignment horizontal="left" vertical="center" wrapText="1"/>
    </xf>
    <xf numFmtId="0" fontId="34" fillId="30" borderId="0" xfId="0" applyFont="1" applyFill="1" applyAlignment="1">
      <alignment horizontal="left" vertical="center"/>
    </xf>
    <xf numFmtId="0" fontId="37" fillId="2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F3E0"/>
      <rgbColor rgb="FFEBF1DE"/>
      <rgbColor rgb="FF0000FF"/>
      <rgbColor rgb="FFFFF2CC"/>
      <rgbColor rgb="FFFDE8D8"/>
      <rgbColor rgb="FFDDEAF5"/>
      <rgbColor rgb="FF9F1A04"/>
      <rgbColor rgb="FFE8F5E9"/>
      <rgbColor rgb="FF2C3E50"/>
      <rgbColor rgb="FFE0E0E0"/>
      <rgbColor rgb="FFF2F2F2"/>
      <rgbColor rgb="FF105256"/>
      <rgbColor rgb="FFC0C1CC"/>
      <rgbColor rgb="FFA569BD"/>
      <rgbColor rgb="FF75B2E1"/>
      <rgbColor rgb="FF555555"/>
      <rgbColor rgb="FFFFF9C4"/>
      <rgbColor rgb="FFD9F2E3"/>
      <rgbColor rgb="FF4A235A"/>
      <rgbColor rgb="FFFADBD8"/>
      <rgbColor rgb="FF15629A"/>
      <rgbColor rgb="FFE8DAEF"/>
      <rgbColor rgb="FFFEF9E7"/>
      <rgbColor rgb="FFF0EEF8"/>
      <rgbColor rgb="FFFDEBD0"/>
      <rgbColor rgb="FFE2EFDA"/>
      <rgbColor rgb="FFF2F3F4"/>
      <rgbColor rgb="FFF5F5F5"/>
      <rgbColor rgb="FF22486D"/>
      <rgbColor rgb="FFEAF7FC"/>
      <rgbColor rgb="FFD5E4F0"/>
      <rgbColor rgb="FFE9F6F7"/>
      <rgbColor rgb="FFD5F5E3"/>
      <rgbColor rgb="FFFFF3CD"/>
      <rgbColor rgb="FFABEBC6"/>
      <rgbColor rgb="FFFAD7D7"/>
      <rgbColor rgb="FFC398D3"/>
      <rgbColor rgb="FFF9CA9C"/>
      <rgbColor rgb="FF2B74B3"/>
      <rgbColor rgb="FF47B691"/>
      <rgbColor rgb="FFD4EDDA"/>
      <rgbColor rgb="FFFDD7A4"/>
      <rgbColor rgb="FFF2DCDB"/>
      <rgbColor rgb="FFC54F08"/>
      <rgbColor rgb="FF634881"/>
      <rgbColor rgb="FFAAAAAA"/>
      <rgbColor rgb="FF1A3960"/>
      <rgbColor rgb="FF3A7B5D"/>
      <rgbColor rgb="FF17293A"/>
      <rgbColor rgb="FF404839"/>
      <rgbColor rgb="FF7E2D00"/>
      <rgbColor rgb="FFFFE0E0"/>
      <rgbColor rgb="FF254566"/>
      <rgbColor rgb="FF222F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S" sz="1800" b="1" strike="noStrike" spc="-1">
                <a:solidFill>
                  <a:srgbClr val="000000"/>
                </a:solidFill>
                <a:latin typeface="Calibri"/>
              </a:rPr>
              <a:t>Chart 1 — Single Crease: R(</a:t>
            </a:r>
            <a:r>
              <a:rPr lang="el-GR" sz="1800" b="1" strike="noStrike" spc="-1">
                <a:solidFill>
                  <a:srgbClr val="000000"/>
                </a:solidFill>
                <a:latin typeface="Calibri"/>
              </a:rPr>
              <a:t>Ω) </a:t>
            </a:r>
            <a:r>
              <a:rPr lang="es-ES" sz="1800" b="1" strike="noStrike" spc="-1">
                <a:solidFill>
                  <a:srgbClr val="000000"/>
                </a:solidFill>
                <a:latin typeface="Calibri"/>
              </a:rPr>
              <a:t>vs Fold Cycles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CHARTS!$B$4</c:f>
              <c:strCache>
                <c:ptCount val="1"/>
                <c:pt idx="0">
                  <c:v>SC_90_L1</c:v>
                </c:pt>
              </c:strCache>
            </c:strRef>
          </c:tx>
          <c:spPr>
            <a:ln w="21960">
              <a:solidFill>
                <a:srgbClr val="1A4A7A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1A4A7A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CHARTS!$A$5:$A$9</c:f>
              <c:numCache>
                <c:formatCode>0.00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CHARTS!$B$5:$B$9</c:f>
              <c:numCache>
                <c:formatCode>0.00</c:formatCode>
                <c:ptCount val="5"/>
                <c:pt idx="0">
                  <c:v>60.09</c:v>
                </c:pt>
                <c:pt idx="1">
                  <c:v>92.45</c:v>
                </c:pt>
                <c:pt idx="2">
                  <c:v>119.39</c:v>
                </c:pt>
                <c:pt idx="3">
                  <c:v>140.47999999999999</c:v>
                </c:pt>
                <c:pt idx="4">
                  <c:v>183.64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158-6448-B81F-86FFE30E3DF4}"/>
            </c:ext>
          </c:extLst>
        </c:ser>
        <c:ser>
          <c:idx val="1"/>
          <c:order val="1"/>
          <c:tx>
            <c:strRef>
              <c:f>CHARTS!$C$4</c:f>
              <c:strCache>
                <c:ptCount val="1"/>
                <c:pt idx="0">
                  <c:v>SC_90_L2</c:v>
                </c:pt>
              </c:strCache>
            </c:strRef>
          </c:tx>
          <c:spPr>
            <a:ln w="21960">
              <a:solidFill>
                <a:srgbClr val="2E75B6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2E75B6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CHARTS!$A$5:$A$9</c:f>
              <c:numCache>
                <c:formatCode>0.00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CHARTS!$C$5:$C$9</c:f>
              <c:numCache>
                <c:formatCode>0.00</c:formatCode>
                <c:ptCount val="5"/>
                <c:pt idx="0">
                  <c:v>20.8</c:v>
                </c:pt>
                <c:pt idx="1">
                  <c:v>32.21</c:v>
                </c:pt>
                <c:pt idx="2">
                  <c:v>34.78</c:v>
                </c:pt>
                <c:pt idx="3">
                  <c:v>36.770000000000003</c:v>
                </c:pt>
                <c:pt idx="4">
                  <c:v>38.9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158-6448-B81F-86FFE30E3DF4}"/>
            </c:ext>
          </c:extLst>
        </c:ser>
        <c:ser>
          <c:idx val="2"/>
          <c:order val="2"/>
          <c:tx>
            <c:strRef>
              <c:f>CHARTS!$D$4</c:f>
              <c:strCache>
                <c:ptCount val="1"/>
                <c:pt idx="0">
                  <c:v>SC_0_L1</c:v>
                </c:pt>
              </c:strCache>
            </c:strRef>
          </c:tx>
          <c:spPr>
            <a:ln w="21960">
              <a:solidFill>
                <a:srgbClr val="5B9BD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5B9BD5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CHARTS!$A$5:$A$9</c:f>
              <c:numCache>
                <c:formatCode>0.00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CHARTS!$D$5:$D$9</c:f>
              <c:numCache>
                <c:formatCode>0.00</c:formatCode>
                <c:ptCount val="5"/>
                <c:pt idx="0">
                  <c:v>59.8</c:v>
                </c:pt>
                <c:pt idx="1">
                  <c:v>92.45</c:v>
                </c:pt>
                <c:pt idx="2">
                  <c:v>119.39</c:v>
                </c:pt>
                <c:pt idx="3">
                  <c:v>140.57</c:v>
                </c:pt>
                <c:pt idx="4">
                  <c:v>183.64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158-6448-B81F-86FFE30E3DF4}"/>
            </c:ext>
          </c:extLst>
        </c:ser>
        <c:ser>
          <c:idx val="3"/>
          <c:order val="3"/>
          <c:tx>
            <c:strRef>
              <c:f>CHARTS!$E$4</c:f>
              <c:strCache>
                <c:ptCount val="1"/>
                <c:pt idx="0">
                  <c:v>SC_0_L2</c:v>
                </c:pt>
              </c:strCache>
            </c:strRef>
          </c:tx>
          <c:spPr>
            <a:ln w="21960">
              <a:solidFill>
                <a:srgbClr val="9DC3E6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9DC3E6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CHARTS!$A$5:$A$9</c:f>
              <c:numCache>
                <c:formatCode>0.00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CHARTS!$E$5:$E$9</c:f>
              <c:numCache>
                <c:formatCode>0.00</c:formatCode>
                <c:ptCount val="5"/>
                <c:pt idx="0">
                  <c:v>20.8</c:v>
                </c:pt>
                <c:pt idx="1">
                  <c:v>32.229999999999997</c:v>
                </c:pt>
                <c:pt idx="2">
                  <c:v>34.78</c:v>
                </c:pt>
                <c:pt idx="3">
                  <c:v>36.770000000000003</c:v>
                </c:pt>
                <c:pt idx="4">
                  <c:v>38.9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D158-6448-B81F-86FFE30E3DF4}"/>
            </c:ext>
          </c:extLst>
        </c:ser>
        <c:ser>
          <c:idx val="4"/>
          <c:order val="4"/>
          <c:tx>
            <c:strRef>
              <c:f>CHARTS!$F$4</c:f>
              <c:strCache>
                <c:ptCount val="1"/>
                <c:pt idx="0">
                  <c:v>SC_45</c:v>
                </c:pt>
              </c:strCache>
            </c:strRef>
          </c:tx>
          <c:spPr>
            <a:ln w="21960">
              <a:solidFill>
                <a:srgbClr val="BDD7EE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BDD7EE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CHARTS!$A$5:$A$9</c:f>
              <c:numCache>
                <c:formatCode>0.00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CHARTS!$F$5:$F$9</c:f>
              <c:numCache>
                <c:formatCode>General</c:formatCode>
                <c:ptCount val="5"/>
                <c:pt idx="0" formatCode="0.00">
                  <c:v>91.46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D158-6448-B81F-86FFE30E3D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marker val="1"/>
        <c:smooth val="0"/>
        <c:axId val="24088418"/>
        <c:axId val="65799623"/>
      </c:lineChart>
      <c:catAx>
        <c:axId val="2408841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Calibri"/>
                  </a:rPr>
                  <a:t>Fold Cycles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65799623"/>
        <c:crosses val="autoZero"/>
        <c:auto val="1"/>
        <c:lblAlgn val="ctr"/>
        <c:lblOffset val="100"/>
        <c:noMultiLvlLbl val="0"/>
      </c:catAx>
      <c:valAx>
        <c:axId val="6579962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Calibri"/>
                  </a:rPr>
                  <a:t>Resistance (</a:t>
                </a:r>
                <a:r>
                  <a:rPr lang="el-GR" sz="1000" b="1" strike="noStrike" spc="-1">
                    <a:solidFill>
                      <a:srgbClr val="000000"/>
                    </a:solidFill>
                    <a:latin typeface="Calibri"/>
                  </a:rPr>
                  <a:t>Ω)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24088418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S" sz="1800" b="1" strike="noStrike" spc="-1">
                <a:solidFill>
                  <a:srgbClr val="000000"/>
                </a:solidFill>
                <a:latin typeface="Calibri"/>
              </a:rPr>
              <a:t>Chart 2 — Accordion: R(</a:t>
            </a:r>
            <a:r>
              <a:rPr lang="el-GR" sz="1800" b="1" strike="noStrike" spc="-1">
                <a:solidFill>
                  <a:srgbClr val="000000"/>
                </a:solidFill>
                <a:latin typeface="Calibri"/>
              </a:rPr>
              <a:t>Ω) </a:t>
            </a:r>
            <a:r>
              <a:rPr lang="es-ES" sz="1800" b="1" strike="noStrike" spc="-1">
                <a:solidFill>
                  <a:srgbClr val="000000"/>
                </a:solidFill>
                <a:latin typeface="Calibri"/>
              </a:rPr>
              <a:t>vs Fold Cycles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CHARTS!$B$13</c:f>
              <c:strCache>
                <c:ptCount val="1"/>
                <c:pt idx="0">
                  <c:v>ACC_0_L1 Crease</c:v>
                </c:pt>
              </c:strCache>
            </c:strRef>
          </c:tx>
          <c:spPr>
            <a:ln w="21960">
              <a:solidFill>
                <a:srgbClr val="7B3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7B3000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CHARTS!$A$14:$A$18</c:f>
              <c:numCache>
                <c:formatCode>0.00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CHARTS!$B$14:$B$18</c:f>
              <c:numCache>
                <c:formatCode>0.00</c:formatCode>
                <c:ptCount val="5"/>
                <c:pt idx="0">
                  <c:v>49.17</c:v>
                </c:pt>
                <c:pt idx="1">
                  <c:v>85.07</c:v>
                </c:pt>
                <c:pt idx="2">
                  <c:v>114.66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CE3-9A4B-A592-99FEB9A5D0C7}"/>
            </c:ext>
          </c:extLst>
        </c:ser>
        <c:ser>
          <c:idx val="1"/>
          <c:order val="1"/>
          <c:tx>
            <c:strRef>
              <c:f>CHARTS!$C$13</c:f>
              <c:strCache>
                <c:ptCount val="1"/>
                <c:pt idx="0">
                  <c:v>ACC_0_L4 Valley</c:v>
                </c:pt>
              </c:strCache>
            </c:strRef>
          </c:tx>
          <c:spPr>
            <a:ln w="21960">
              <a:solidFill>
                <a:srgbClr val="C0512A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C0512A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CHARTS!$A$14:$A$18</c:f>
              <c:numCache>
                <c:formatCode>0.00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CHARTS!$C$14:$C$18</c:f>
              <c:numCache>
                <c:formatCode>0.00</c:formatCode>
                <c:ptCount val="5"/>
                <c:pt idx="0">
                  <c:v>106.19</c:v>
                </c:pt>
                <c:pt idx="1">
                  <c:v>298.10000000000002</c:v>
                </c:pt>
                <c:pt idx="2">
                  <c:v>488.17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CE3-9A4B-A592-99FEB9A5D0C7}"/>
            </c:ext>
          </c:extLst>
        </c:ser>
        <c:ser>
          <c:idx val="2"/>
          <c:order val="2"/>
          <c:tx>
            <c:strRef>
              <c:f>CHARTS!$D$13</c:f>
              <c:strCache>
                <c:ptCount val="1"/>
                <c:pt idx="0">
                  <c:v>ACC_90_L1 Crease</c:v>
                </c:pt>
              </c:strCache>
            </c:strRef>
          </c:tx>
          <c:spPr>
            <a:ln w="21960">
              <a:solidFill>
                <a:srgbClr val="E67E2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E67E22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CHARTS!$A$14:$A$18</c:f>
              <c:numCache>
                <c:formatCode>0.00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CHARTS!$D$14:$D$18</c:f>
              <c:numCache>
                <c:formatCode>0.00</c:formatCode>
                <c:ptCount val="5"/>
                <c:pt idx="0">
                  <c:v>26.66</c:v>
                </c:pt>
                <c:pt idx="1">
                  <c:v>46.71</c:v>
                </c:pt>
                <c:pt idx="2">
                  <c:v>50.56</c:v>
                </c:pt>
                <c:pt idx="3">
                  <c:v>75.86</c:v>
                </c:pt>
                <c:pt idx="4">
                  <c:v>78.040000000000006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CE3-9A4B-A592-99FEB9A5D0C7}"/>
            </c:ext>
          </c:extLst>
        </c:ser>
        <c:ser>
          <c:idx val="3"/>
          <c:order val="3"/>
          <c:tx>
            <c:strRef>
              <c:f>CHARTS!$E$13</c:f>
              <c:strCache>
                <c:ptCount val="1"/>
                <c:pt idx="0">
                  <c:v>ACC_90_L2 Valley</c:v>
                </c:pt>
              </c:strCache>
            </c:strRef>
          </c:tx>
          <c:spPr>
            <a:ln w="21960">
              <a:solidFill>
                <a:srgbClr val="F0A86A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0A86A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CHARTS!$A$14:$A$18</c:f>
              <c:numCache>
                <c:formatCode>0.00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CHARTS!$E$14:$E$18</c:f>
              <c:numCache>
                <c:formatCode>General</c:formatCode>
                <c:ptCount val="5"/>
                <c:pt idx="0" formatCode="0.00">
                  <c:v>221.2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ACE3-9A4B-A592-99FEB9A5D0C7}"/>
            </c:ext>
          </c:extLst>
        </c:ser>
        <c:ser>
          <c:idx val="4"/>
          <c:order val="4"/>
          <c:tx>
            <c:strRef>
              <c:f>CHARTS!$F$13</c:f>
              <c:strCache>
                <c:ptCount val="1"/>
                <c:pt idx="0">
                  <c:v>ACC_45_L1 Crease</c:v>
                </c:pt>
              </c:strCache>
            </c:strRef>
          </c:tx>
          <c:spPr>
            <a:ln w="21960">
              <a:solidFill>
                <a:srgbClr val="F8C99A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8C99A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CHARTS!$A$14:$A$18</c:f>
              <c:numCache>
                <c:formatCode>0.00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CHARTS!$F$14:$F$18</c:f>
              <c:numCache>
                <c:formatCode>0.00</c:formatCode>
                <c:ptCount val="5"/>
                <c:pt idx="0">
                  <c:v>18.07</c:v>
                </c:pt>
                <c:pt idx="1">
                  <c:v>24.44</c:v>
                </c:pt>
                <c:pt idx="2">
                  <c:v>41.5</c:v>
                </c:pt>
                <c:pt idx="3">
                  <c:v>77.36</c:v>
                </c:pt>
                <c:pt idx="4">
                  <c:v>66.650000000000006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ACE3-9A4B-A592-99FEB9A5D0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marker val="1"/>
        <c:smooth val="0"/>
        <c:axId val="55958904"/>
        <c:axId val="5473606"/>
      </c:lineChart>
      <c:catAx>
        <c:axId val="5595890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Calibri"/>
                  </a:rPr>
                  <a:t>Fold Cycles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5473606"/>
        <c:crosses val="autoZero"/>
        <c:auto val="1"/>
        <c:lblAlgn val="ctr"/>
        <c:lblOffset val="100"/>
        <c:noMultiLvlLbl val="0"/>
      </c:catAx>
      <c:valAx>
        <c:axId val="547360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Calibri"/>
                  </a:rPr>
                  <a:t>Resistance (</a:t>
                </a:r>
                <a:r>
                  <a:rPr lang="el-GR" sz="1000" b="1" strike="noStrike" spc="-1">
                    <a:solidFill>
                      <a:srgbClr val="000000"/>
                    </a:solidFill>
                    <a:latin typeface="Calibri"/>
                  </a:rPr>
                  <a:t>Ω)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55958904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S" sz="1800" b="1" strike="noStrike" spc="-1">
                <a:solidFill>
                  <a:srgbClr val="000000"/>
                </a:solidFill>
                <a:latin typeface="Calibri"/>
              </a:rPr>
              <a:t>Chart 3 — Miura-Ori: R(</a:t>
            </a:r>
            <a:r>
              <a:rPr lang="el-GR" sz="1800" b="1" strike="noStrike" spc="-1">
                <a:solidFill>
                  <a:srgbClr val="000000"/>
                </a:solidFill>
                <a:latin typeface="Calibri"/>
              </a:rPr>
              <a:t>Ω) </a:t>
            </a:r>
            <a:r>
              <a:rPr lang="es-ES" sz="1800" b="1" strike="noStrike" spc="-1">
                <a:solidFill>
                  <a:srgbClr val="000000"/>
                </a:solidFill>
                <a:latin typeface="Calibri"/>
              </a:rPr>
              <a:t>vs Fold Cycles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CHARTS!$B$22</c:f>
              <c:strCache>
                <c:ptCount val="1"/>
                <c:pt idx="0">
                  <c:v>MO_45_CUT_L2</c:v>
                </c:pt>
              </c:strCache>
            </c:strRef>
          </c:tx>
          <c:spPr>
            <a:ln w="21960">
              <a:solidFill>
                <a:srgbClr val="0B5C3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0B5C30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CHARTS!$A$23:$A$27</c:f>
              <c:numCache>
                <c:formatCode>0.00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CHARTS!$B$23:$B$27</c:f>
              <c:numCache>
                <c:formatCode>0.00</c:formatCode>
                <c:ptCount val="5"/>
                <c:pt idx="0">
                  <c:v>27.05</c:v>
                </c:pt>
                <c:pt idx="1">
                  <c:v>17.39</c:v>
                </c:pt>
                <c:pt idx="2">
                  <c:v>20.010000000000002</c:v>
                </c:pt>
                <c:pt idx="3">
                  <c:v>23.42</c:v>
                </c:pt>
                <c:pt idx="4">
                  <c:v>28.43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F86-0A4E-B948-AE333BFFF50A}"/>
            </c:ext>
          </c:extLst>
        </c:ser>
        <c:ser>
          <c:idx val="1"/>
          <c:order val="1"/>
          <c:tx>
            <c:strRef>
              <c:f>CHARTS!$C$22</c:f>
              <c:strCache>
                <c:ptCount val="1"/>
                <c:pt idx="0">
                  <c:v>MO_45_UNCUT_L2</c:v>
                </c:pt>
              </c:strCache>
            </c:strRef>
          </c:tx>
          <c:spPr>
            <a:ln w="21960">
              <a:solidFill>
                <a:srgbClr val="1E8449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1E8449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CHARTS!$A$23:$A$27</c:f>
              <c:numCache>
                <c:formatCode>0.00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CHARTS!$C$23:$C$27</c:f>
              <c:numCache>
                <c:formatCode>0.00</c:formatCode>
                <c:ptCount val="5"/>
                <c:pt idx="0">
                  <c:v>6.38</c:v>
                </c:pt>
                <c:pt idx="1">
                  <c:v>6.3</c:v>
                </c:pt>
                <c:pt idx="2">
                  <c:v>6.31</c:v>
                </c:pt>
                <c:pt idx="3">
                  <c:v>6.63</c:v>
                </c:pt>
                <c:pt idx="4">
                  <c:v>6.7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F86-0A4E-B948-AE333BFFF50A}"/>
            </c:ext>
          </c:extLst>
        </c:ser>
        <c:ser>
          <c:idx val="2"/>
          <c:order val="2"/>
          <c:tx>
            <c:strRef>
              <c:f>CHARTS!$D$22</c:f>
              <c:strCache>
                <c:ptCount val="1"/>
                <c:pt idx="0">
                  <c:v>MO_90_UNCUT_L4</c:v>
                </c:pt>
              </c:strCache>
            </c:strRef>
          </c:tx>
          <c:spPr>
            <a:ln w="21960">
              <a:solidFill>
                <a:srgbClr val="27AE6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27AE60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CHARTS!$A$23:$A$27</c:f>
              <c:numCache>
                <c:formatCode>0.00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CHARTS!$D$23:$D$27</c:f>
              <c:numCache>
                <c:formatCode>0.00</c:formatCode>
                <c:ptCount val="5"/>
                <c:pt idx="0">
                  <c:v>2.71</c:v>
                </c:pt>
                <c:pt idx="1">
                  <c:v>3.72</c:v>
                </c:pt>
                <c:pt idx="2">
                  <c:v>3.84</c:v>
                </c:pt>
                <c:pt idx="3">
                  <c:v>4.0999999999999996</c:v>
                </c:pt>
                <c:pt idx="4">
                  <c:v>4.22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F86-0A4E-B948-AE333BFFF50A}"/>
            </c:ext>
          </c:extLst>
        </c:ser>
        <c:ser>
          <c:idx val="3"/>
          <c:order val="3"/>
          <c:tx>
            <c:strRef>
              <c:f>CHARTS!$E$22</c:f>
              <c:strCache>
                <c:ptCount val="1"/>
                <c:pt idx="0">
                  <c:v>MO_0_UNCUT_L2</c:v>
                </c:pt>
              </c:strCache>
            </c:strRef>
          </c:tx>
          <c:spPr>
            <a:ln w="21960">
              <a:solidFill>
                <a:srgbClr val="52BE8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52BE80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CHARTS!$A$23:$A$27</c:f>
              <c:numCache>
                <c:formatCode>0.00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CHARTS!$E$23:$E$27</c:f>
              <c:numCache>
                <c:formatCode>0.00</c:formatCode>
                <c:ptCount val="5"/>
                <c:pt idx="0">
                  <c:v>6.14</c:v>
                </c:pt>
                <c:pt idx="1">
                  <c:v>9.07</c:v>
                </c:pt>
                <c:pt idx="2">
                  <c:v>9.75</c:v>
                </c:pt>
                <c:pt idx="3">
                  <c:v>10.1</c:v>
                </c:pt>
                <c:pt idx="4">
                  <c:v>11.2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4F86-0A4E-B948-AE333BFFF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marker val="1"/>
        <c:smooth val="0"/>
        <c:axId val="46779473"/>
        <c:axId val="33477878"/>
      </c:lineChart>
      <c:catAx>
        <c:axId val="467794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Calibri"/>
                  </a:rPr>
                  <a:t>Fold Cycles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33477878"/>
        <c:crosses val="autoZero"/>
        <c:auto val="1"/>
        <c:lblAlgn val="ctr"/>
        <c:lblOffset val="100"/>
        <c:noMultiLvlLbl val="0"/>
      </c:catAx>
      <c:valAx>
        <c:axId val="3347787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Calibri"/>
                  </a:rPr>
                  <a:t>Resistance (</a:t>
                </a:r>
                <a:r>
                  <a:rPr lang="el-GR" sz="1000" b="1" strike="noStrike" spc="-1">
                    <a:solidFill>
                      <a:srgbClr val="000000"/>
                    </a:solidFill>
                    <a:latin typeface="Calibri"/>
                  </a:rPr>
                  <a:t>Ω)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46779473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S" sz="1800" b="1" strike="noStrike" spc="-1">
                <a:solidFill>
                  <a:srgbClr val="000000"/>
                </a:solidFill>
                <a:latin typeface="Calibri"/>
              </a:rPr>
              <a:t>Chart 4 — Kirigami: R(</a:t>
            </a:r>
            <a:r>
              <a:rPr lang="el-GR" sz="1800" b="1" strike="noStrike" spc="-1">
                <a:solidFill>
                  <a:srgbClr val="000000"/>
                </a:solidFill>
                <a:latin typeface="Calibri"/>
              </a:rPr>
              <a:t>Ω) </a:t>
            </a:r>
            <a:r>
              <a:rPr lang="es-ES" sz="1800" b="1" strike="noStrike" spc="-1">
                <a:solidFill>
                  <a:srgbClr val="000000"/>
                </a:solidFill>
                <a:latin typeface="Calibri"/>
              </a:rPr>
              <a:t>vs Fold Cycles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CHARTS!$B$31</c:f>
              <c:strCache>
                <c:ptCount val="1"/>
                <c:pt idx="0">
                  <c:v>KR_0_5_L1</c:v>
                </c:pt>
              </c:strCache>
            </c:strRef>
          </c:tx>
          <c:spPr>
            <a:ln w="21960">
              <a:solidFill>
                <a:srgbClr val="4A235A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4A235A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CHARTS!$A$32:$A$36</c:f>
              <c:numCache>
                <c:formatCode>0.00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CHARTS!$B$32:$B$36</c:f>
              <c:numCache>
                <c:formatCode>0.00</c:formatCode>
                <c:ptCount val="5"/>
                <c:pt idx="0">
                  <c:v>73.7</c:v>
                </c:pt>
                <c:pt idx="1">
                  <c:v>87.28</c:v>
                </c:pt>
                <c:pt idx="2">
                  <c:v>98.58</c:v>
                </c:pt>
                <c:pt idx="3">
                  <c:v>105.88</c:v>
                </c:pt>
                <c:pt idx="4">
                  <c:v>110.68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A4F-E944-97C6-919794D9BBA7}"/>
            </c:ext>
          </c:extLst>
        </c:ser>
        <c:ser>
          <c:idx val="1"/>
          <c:order val="1"/>
          <c:tx>
            <c:strRef>
              <c:f>CHARTS!$C$31</c:f>
              <c:strCache>
                <c:ptCount val="1"/>
                <c:pt idx="0">
                  <c:v>KR_0_10_L1</c:v>
                </c:pt>
              </c:strCache>
            </c:strRef>
          </c:tx>
          <c:spPr>
            <a:ln w="21960">
              <a:solidFill>
                <a:srgbClr val="6C348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6C3483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CHARTS!$A$32:$A$36</c:f>
              <c:numCache>
                <c:formatCode>0.00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CHARTS!$C$32:$C$36</c:f>
              <c:numCache>
                <c:formatCode>0.00</c:formatCode>
                <c:ptCount val="5"/>
                <c:pt idx="0">
                  <c:v>40.5</c:v>
                </c:pt>
                <c:pt idx="1">
                  <c:v>71.180000000000007</c:v>
                </c:pt>
                <c:pt idx="2">
                  <c:v>79.28</c:v>
                </c:pt>
                <c:pt idx="3">
                  <c:v>78.290000000000006</c:v>
                </c:pt>
                <c:pt idx="4">
                  <c:v>88.54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A4F-E944-97C6-919794D9BBA7}"/>
            </c:ext>
          </c:extLst>
        </c:ser>
        <c:ser>
          <c:idx val="2"/>
          <c:order val="2"/>
          <c:tx>
            <c:strRef>
              <c:f>CHARTS!$D$31</c:f>
              <c:strCache>
                <c:ptCount val="1"/>
                <c:pt idx="0">
                  <c:v>KR_0_10_L2</c:v>
                </c:pt>
              </c:strCache>
            </c:strRef>
          </c:tx>
          <c:spPr>
            <a:ln w="21960">
              <a:solidFill>
                <a:srgbClr val="8E44AD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8E44AD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CHARTS!$A$32:$A$36</c:f>
              <c:numCache>
                <c:formatCode>0.00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CHARTS!$D$32:$D$36</c:f>
              <c:numCache>
                <c:formatCode>0.00</c:formatCode>
                <c:ptCount val="5"/>
                <c:pt idx="0">
                  <c:v>31.08</c:v>
                </c:pt>
                <c:pt idx="1">
                  <c:v>44.78</c:v>
                </c:pt>
                <c:pt idx="2">
                  <c:v>48.69</c:v>
                </c:pt>
                <c:pt idx="3">
                  <c:v>54.31</c:v>
                </c:pt>
                <c:pt idx="4">
                  <c:v>70.8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A4F-E944-97C6-919794D9BBA7}"/>
            </c:ext>
          </c:extLst>
        </c:ser>
        <c:ser>
          <c:idx val="3"/>
          <c:order val="3"/>
          <c:tx>
            <c:strRef>
              <c:f>CHARTS!$E$31</c:f>
              <c:strCache>
                <c:ptCount val="1"/>
                <c:pt idx="0">
                  <c:v>KR_90_BRG_L1</c:v>
                </c:pt>
              </c:strCache>
            </c:strRef>
          </c:tx>
          <c:spPr>
            <a:ln w="21960">
              <a:solidFill>
                <a:srgbClr val="BB8FCE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BB8FCE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CHARTS!$A$32:$A$36</c:f>
              <c:numCache>
                <c:formatCode>0.00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CHARTS!$E$32:$E$36</c:f>
              <c:numCache>
                <c:formatCode>0.00</c:formatCode>
                <c:ptCount val="5"/>
                <c:pt idx="0">
                  <c:v>15.17</c:v>
                </c:pt>
                <c:pt idx="1">
                  <c:v>338.61</c:v>
                </c:pt>
                <c:pt idx="2">
                  <c:v>357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0A4F-E944-97C6-919794D9BBA7}"/>
            </c:ext>
          </c:extLst>
        </c:ser>
        <c:ser>
          <c:idx val="4"/>
          <c:order val="4"/>
          <c:tx>
            <c:strRef>
              <c:f>CHARTS!$F$31</c:f>
              <c:strCache>
                <c:ptCount val="1"/>
                <c:pt idx="0">
                  <c:v>KR_90_BRG_L2</c:v>
                </c:pt>
              </c:strCache>
            </c:strRef>
          </c:tx>
          <c:spPr>
            <a:ln w="21960">
              <a:solidFill>
                <a:srgbClr val="D7BDE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D7BDE2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CHARTS!$A$32:$A$36</c:f>
              <c:numCache>
                <c:formatCode>0.00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CHARTS!$F$32:$F$36</c:f>
              <c:numCache>
                <c:formatCode>General</c:formatCode>
                <c:ptCount val="5"/>
                <c:pt idx="0" formatCode="0.00">
                  <c:v>17.37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0A4F-E944-97C6-919794D9BBA7}"/>
            </c:ext>
          </c:extLst>
        </c:ser>
        <c:ser>
          <c:idx val="5"/>
          <c:order val="5"/>
          <c:tx>
            <c:strRef>
              <c:f>CHARTS!$G$31</c:f>
              <c:strCache>
                <c:ptCount val="1"/>
                <c:pt idx="0">
                  <c:v>KR_0_TWISTING</c:v>
                </c:pt>
              </c:strCache>
            </c:strRef>
          </c:tx>
          <c:spPr>
            <a:ln w="21960">
              <a:solidFill>
                <a:srgbClr val="4A235A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4A235A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CHARTS!$A$32:$A$36</c:f>
              <c:numCache>
                <c:formatCode>0.00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CHARTS!$G$32:$G$36</c:f>
              <c:numCache>
                <c:formatCode>0.00</c:formatCode>
                <c:ptCount val="5"/>
                <c:pt idx="0">
                  <c:v>114.51</c:v>
                </c:pt>
                <c:pt idx="1">
                  <c:v>152.76</c:v>
                </c:pt>
                <c:pt idx="2">
                  <c:v>181.78</c:v>
                </c:pt>
                <c:pt idx="3">
                  <c:v>207.77</c:v>
                </c:pt>
                <c:pt idx="4">
                  <c:v>229.93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0A4F-E944-97C6-919794D9B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marker val="1"/>
        <c:smooth val="0"/>
        <c:axId val="28166616"/>
        <c:axId val="78956796"/>
      </c:lineChart>
      <c:catAx>
        <c:axId val="281666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Calibri"/>
                  </a:rPr>
                  <a:t>Fold Cycles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78956796"/>
        <c:crosses val="autoZero"/>
        <c:auto val="1"/>
        <c:lblAlgn val="ctr"/>
        <c:lblOffset val="100"/>
        <c:noMultiLvlLbl val="0"/>
      </c:catAx>
      <c:valAx>
        <c:axId val="7895679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Calibri"/>
                  </a:rPr>
                  <a:t>Resistance (</a:t>
                </a:r>
                <a:r>
                  <a:rPr lang="el-GR" sz="1000" b="1" strike="noStrike" spc="-1">
                    <a:solidFill>
                      <a:srgbClr val="000000"/>
                    </a:solidFill>
                    <a:latin typeface="Calibri"/>
                  </a:rPr>
                  <a:t>Ω)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28166616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S" sz="1800" b="1" strike="noStrike" spc="-1">
                <a:solidFill>
                  <a:srgbClr val="000000"/>
                </a:solidFill>
                <a:latin typeface="Calibri"/>
              </a:rPr>
              <a:t>Chart 5 — Best 2 per Pattern: R(</a:t>
            </a:r>
            <a:r>
              <a:rPr lang="el-GR" sz="1800" b="1" strike="noStrike" spc="-1">
                <a:solidFill>
                  <a:srgbClr val="000000"/>
                </a:solidFill>
                <a:latin typeface="Calibri"/>
              </a:rPr>
              <a:t>Ω) </a:t>
            </a:r>
            <a:r>
              <a:rPr lang="es-ES" sz="1800" b="1" strike="noStrike" spc="-1">
                <a:solidFill>
                  <a:srgbClr val="000000"/>
                </a:solidFill>
                <a:latin typeface="Calibri"/>
              </a:rPr>
              <a:t>vs Fold Cycles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CHARTS!$B$41</c:f>
              <c:strCache>
                <c:ptCount val="1"/>
                <c:pt idx="0">
                  <c:v>MO_45_UNCUT_L2</c:v>
                </c:pt>
              </c:strCache>
            </c:strRef>
          </c:tx>
          <c:spPr>
            <a:ln w="21960">
              <a:solidFill>
                <a:srgbClr val="1E8449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1E8449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CHARTS!$A$42:$A$46</c:f>
              <c:numCache>
                <c:formatCode>0.00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CHARTS!$B$42:$B$46</c:f>
              <c:numCache>
                <c:formatCode>0.00</c:formatCode>
                <c:ptCount val="5"/>
                <c:pt idx="0">
                  <c:v>6.38</c:v>
                </c:pt>
                <c:pt idx="1">
                  <c:v>6.3</c:v>
                </c:pt>
                <c:pt idx="2">
                  <c:v>6.31</c:v>
                </c:pt>
                <c:pt idx="3">
                  <c:v>6.63</c:v>
                </c:pt>
                <c:pt idx="4">
                  <c:v>6.7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D18-4841-911F-2995A3143A64}"/>
            </c:ext>
          </c:extLst>
        </c:ser>
        <c:ser>
          <c:idx val="1"/>
          <c:order val="1"/>
          <c:tx>
            <c:strRef>
              <c:f>CHARTS!$C$41</c:f>
              <c:strCache>
                <c:ptCount val="1"/>
                <c:pt idx="0">
                  <c:v>MO_90_UNCUT_L4</c:v>
                </c:pt>
              </c:strCache>
            </c:strRef>
          </c:tx>
          <c:spPr>
            <a:ln w="21960">
              <a:solidFill>
                <a:srgbClr val="27AE6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27AE60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CHARTS!$A$42:$A$46</c:f>
              <c:numCache>
                <c:formatCode>0.00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CHARTS!$C$42:$C$46</c:f>
              <c:numCache>
                <c:formatCode>0.00</c:formatCode>
                <c:ptCount val="5"/>
                <c:pt idx="0">
                  <c:v>2.71</c:v>
                </c:pt>
                <c:pt idx="1">
                  <c:v>3.72</c:v>
                </c:pt>
                <c:pt idx="2">
                  <c:v>3.84</c:v>
                </c:pt>
                <c:pt idx="3">
                  <c:v>4.0999999999999996</c:v>
                </c:pt>
                <c:pt idx="4">
                  <c:v>4.22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D18-4841-911F-2995A3143A64}"/>
            </c:ext>
          </c:extLst>
        </c:ser>
        <c:ser>
          <c:idx val="2"/>
          <c:order val="2"/>
          <c:tx>
            <c:strRef>
              <c:f>CHARTS!$D$41</c:f>
              <c:strCache>
                <c:ptCount val="1"/>
                <c:pt idx="0">
                  <c:v>KR_0_5_L1</c:v>
                </c:pt>
              </c:strCache>
            </c:strRef>
          </c:tx>
          <c:spPr>
            <a:ln w="21960">
              <a:solidFill>
                <a:srgbClr val="6C348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6C3483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CHARTS!$A$42:$A$46</c:f>
              <c:numCache>
                <c:formatCode>0.00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CHARTS!$D$42:$D$46</c:f>
              <c:numCache>
                <c:formatCode>0.00</c:formatCode>
                <c:ptCount val="5"/>
                <c:pt idx="0">
                  <c:v>73.7</c:v>
                </c:pt>
                <c:pt idx="1">
                  <c:v>87.28</c:v>
                </c:pt>
                <c:pt idx="2">
                  <c:v>98.58</c:v>
                </c:pt>
                <c:pt idx="3">
                  <c:v>105.88</c:v>
                </c:pt>
                <c:pt idx="4">
                  <c:v>110.68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D18-4841-911F-2995A3143A64}"/>
            </c:ext>
          </c:extLst>
        </c:ser>
        <c:ser>
          <c:idx val="3"/>
          <c:order val="3"/>
          <c:tx>
            <c:strRef>
              <c:f>CHARTS!$E$41</c:f>
              <c:strCache>
                <c:ptCount val="1"/>
                <c:pt idx="0">
                  <c:v>KR_0_10_L2</c:v>
                </c:pt>
              </c:strCache>
            </c:strRef>
          </c:tx>
          <c:spPr>
            <a:ln w="21960">
              <a:solidFill>
                <a:srgbClr val="8E44AD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8E44AD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CHARTS!$A$42:$A$46</c:f>
              <c:numCache>
                <c:formatCode>0.00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CHARTS!$E$42:$E$46</c:f>
              <c:numCache>
                <c:formatCode>0.00</c:formatCode>
                <c:ptCount val="5"/>
                <c:pt idx="0">
                  <c:v>31.08</c:v>
                </c:pt>
                <c:pt idx="1">
                  <c:v>44.78</c:v>
                </c:pt>
                <c:pt idx="2">
                  <c:v>48.69</c:v>
                </c:pt>
                <c:pt idx="3">
                  <c:v>54.31</c:v>
                </c:pt>
                <c:pt idx="4">
                  <c:v>70.8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ED18-4841-911F-2995A3143A64}"/>
            </c:ext>
          </c:extLst>
        </c:ser>
        <c:ser>
          <c:idx val="4"/>
          <c:order val="4"/>
          <c:tx>
            <c:strRef>
              <c:f>CHARTS!$F$41</c:f>
              <c:strCache>
                <c:ptCount val="1"/>
                <c:pt idx="0">
                  <c:v>SC_90_L2</c:v>
                </c:pt>
              </c:strCache>
            </c:strRef>
          </c:tx>
          <c:spPr>
            <a:ln w="21960">
              <a:solidFill>
                <a:srgbClr val="2E75B6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2E75B6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CHARTS!$A$42:$A$46</c:f>
              <c:numCache>
                <c:formatCode>0.00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CHARTS!$F$42:$F$46</c:f>
              <c:numCache>
                <c:formatCode>0.00</c:formatCode>
                <c:ptCount val="5"/>
                <c:pt idx="0">
                  <c:v>20.8</c:v>
                </c:pt>
                <c:pt idx="1">
                  <c:v>32.21</c:v>
                </c:pt>
                <c:pt idx="2">
                  <c:v>34.78</c:v>
                </c:pt>
                <c:pt idx="3">
                  <c:v>36.770000000000003</c:v>
                </c:pt>
                <c:pt idx="4">
                  <c:v>38.9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ED18-4841-911F-2995A3143A64}"/>
            </c:ext>
          </c:extLst>
        </c:ser>
        <c:ser>
          <c:idx val="5"/>
          <c:order val="5"/>
          <c:tx>
            <c:strRef>
              <c:f>CHARTS!$G$41</c:f>
              <c:strCache>
                <c:ptCount val="1"/>
                <c:pt idx="0">
                  <c:v>SC_0_L2</c:v>
                </c:pt>
              </c:strCache>
            </c:strRef>
          </c:tx>
          <c:spPr>
            <a:ln w="21960">
              <a:solidFill>
                <a:srgbClr val="5B9BD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5B9BD5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CHARTS!$A$42:$A$46</c:f>
              <c:numCache>
                <c:formatCode>0.00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CHARTS!$G$42:$G$46</c:f>
              <c:numCache>
                <c:formatCode>0.00</c:formatCode>
                <c:ptCount val="5"/>
                <c:pt idx="0">
                  <c:v>20.8</c:v>
                </c:pt>
                <c:pt idx="1">
                  <c:v>32.229999999999997</c:v>
                </c:pt>
                <c:pt idx="2">
                  <c:v>34.78</c:v>
                </c:pt>
                <c:pt idx="3">
                  <c:v>36.770000000000003</c:v>
                </c:pt>
                <c:pt idx="4">
                  <c:v>38.9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ED18-4841-911F-2995A3143A64}"/>
            </c:ext>
          </c:extLst>
        </c:ser>
        <c:ser>
          <c:idx val="6"/>
          <c:order val="6"/>
          <c:tx>
            <c:strRef>
              <c:f>CHARTS!$H$41</c:f>
              <c:strCache>
                <c:ptCount val="1"/>
                <c:pt idx="0">
                  <c:v>ACC_90_L1</c:v>
                </c:pt>
              </c:strCache>
            </c:strRef>
          </c:tx>
          <c:spPr>
            <a:ln w="21960">
              <a:solidFill>
                <a:srgbClr val="C0512A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C0512A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CHARTS!$A$42:$A$46</c:f>
              <c:numCache>
                <c:formatCode>0.00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CHARTS!$H$42:$H$46</c:f>
              <c:numCache>
                <c:formatCode>0.00</c:formatCode>
                <c:ptCount val="5"/>
                <c:pt idx="0">
                  <c:v>26.66</c:v>
                </c:pt>
                <c:pt idx="1">
                  <c:v>46.71</c:v>
                </c:pt>
                <c:pt idx="2">
                  <c:v>50.56</c:v>
                </c:pt>
                <c:pt idx="3">
                  <c:v>75.86</c:v>
                </c:pt>
                <c:pt idx="4">
                  <c:v>78.040000000000006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ED18-4841-911F-2995A3143A64}"/>
            </c:ext>
          </c:extLst>
        </c:ser>
        <c:ser>
          <c:idx val="7"/>
          <c:order val="7"/>
          <c:tx>
            <c:strRef>
              <c:f>CHARTS!$I$41</c:f>
              <c:strCache>
                <c:ptCount val="1"/>
                <c:pt idx="0">
                  <c:v>ACC_45_L1</c:v>
                </c:pt>
              </c:strCache>
            </c:strRef>
          </c:tx>
          <c:spPr>
            <a:ln w="21960">
              <a:solidFill>
                <a:srgbClr val="E67E2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E67E22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CHARTS!$A$42:$A$46</c:f>
              <c:numCache>
                <c:formatCode>0.00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CHARTS!$I$42:$I$46</c:f>
              <c:numCache>
                <c:formatCode>0.00</c:formatCode>
                <c:ptCount val="5"/>
                <c:pt idx="0">
                  <c:v>18.07</c:v>
                </c:pt>
                <c:pt idx="1">
                  <c:v>24.44</c:v>
                </c:pt>
                <c:pt idx="2">
                  <c:v>41.5</c:v>
                </c:pt>
                <c:pt idx="3">
                  <c:v>77.36</c:v>
                </c:pt>
                <c:pt idx="4">
                  <c:v>66.650000000000006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ED18-4841-911F-2995A3143A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marker val="1"/>
        <c:smooth val="0"/>
        <c:axId val="15665201"/>
        <c:axId val="13561064"/>
      </c:lineChart>
      <c:catAx>
        <c:axId val="156652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Calibri"/>
                  </a:rPr>
                  <a:t>Fold Cycles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13561064"/>
        <c:crosses val="autoZero"/>
        <c:auto val="1"/>
        <c:lblAlgn val="ctr"/>
        <c:lblOffset val="100"/>
        <c:noMultiLvlLbl val="0"/>
      </c:catAx>
      <c:valAx>
        <c:axId val="1356106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Calibri"/>
                  </a:rPr>
                  <a:t>Resistance (</a:t>
                </a:r>
                <a:r>
                  <a:rPr lang="el-GR" sz="1000" b="1" strike="noStrike" spc="-1">
                    <a:solidFill>
                      <a:srgbClr val="000000"/>
                    </a:solidFill>
                    <a:latin typeface="Calibri"/>
                  </a:rPr>
                  <a:t>Ω)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15665201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S" sz="1800" b="1" strike="noStrike" spc="-1">
                <a:solidFill>
                  <a:srgbClr val="000000"/>
                </a:solidFill>
                <a:latin typeface="Calibri"/>
              </a:rPr>
              <a:t>Chart 6 — All Survivors: R(</a:t>
            </a:r>
            <a:r>
              <a:rPr lang="el-GR" sz="1800" b="1" strike="noStrike" spc="-1">
                <a:solidFill>
                  <a:srgbClr val="000000"/>
                </a:solidFill>
                <a:latin typeface="Calibri"/>
              </a:rPr>
              <a:t>Ω) </a:t>
            </a:r>
            <a:r>
              <a:rPr lang="es-ES" sz="1800" b="1" strike="noStrike" spc="-1">
                <a:solidFill>
                  <a:srgbClr val="000000"/>
                </a:solidFill>
                <a:latin typeface="Calibri"/>
              </a:rPr>
              <a:t>per Specimen vs Fold Cycles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CHARTS!$B$51</c:f>
              <c:strCache>
                <c:ptCount val="1"/>
                <c:pt idx="0">
                  <c:v>MO_45_CUT_L2</c:v>
                </c:pt>
              </c:strCache>
            </c:strRef>
          </c:tx>
          <c:spPr>
            <a:ln w="21960">
              <a:solidFill>
                <a:srgbClr val="0B5C3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0B5C30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CHARTS!$A$52:$A$56</c:f>
              <c:numCache>
                <c:formatCode>0.00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CHARTS!$B$52:$B$56</c:f>
              <c:numCache>
                <c:formatCode>0.00</c:formatCode>
                <c:ptCount val="5"/>
                <c:pt idx="0">
                  <c:v>27.05</c:v>
                </c:pt>
                <c:pt idx="1">
                  <c:v>17.39</c:v>
                </c:pt>
                <c:pt idx="2">
                  <c:v>20.010000000000002</c:v>
                </c:pt>
                <c:pt idx="3">
                  <c:v>23.42</c:v>
                </c:pt>
                <c:pt idx="4">
                  <c:v>28.43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C8A-A440-8203-209FBAA5B392}"/>
            </c:ext>
          </c:extLst>
        </c:ser>
        <c:ser>
          <c:idx val="1"/>
          <c:order val="1"/>
          <c:tx>
            <c:strRef>
              <c:f>CHARTS!$C$51</c:f>
              <c:strCache>
                <c:ptCount val="1"/>
                <c:pt idx="0">
                  <c:v>MO_45_UNCUT_L2</c:v>
                </c:pt>
              </c:strCache>
            </c:strRef>
          </c:tx>
          <c:spPr>
            <a:ln w="21960">
              <a:solidFill>
                <a:srgbClr val="1E8449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1E8449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CHARTS!$A$52:$A$56</c:f>
              <c:numCache>
                <c:formatCode>0.00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CHARTS!$C$52:$C$56</c:f>
              <c:numCache>
                <c:formatCode>0.00</c:formatCode>
                <c:ptCount val="5"/>
                <c:pt idx="0">
                  <c:v>6.38</c:v>
                </c:pt>
                <c:pt idx="1">
                  <c:v>6.3</c:v>
                </c:pt>
                <c:pt idx="2">
                  <c:v>6.31</c:v>
                </c:pt>
                <c:pt idx="3">
                  <c:v>6.63</c:v>
                </c:pt>
                <c:pt idx="4">
                  <c:v>6.7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C8A-A440-8203-209FBAA5B392}"/>
            </c:ext>
          </c:extLst>
        </c:ser>
        <c:ser>
          <c:idx val="2"/>
          <c:order val="2"/>
          <c:tx>
            <c:strRef>
              <c:f>CHARTS!$D$51</c:f>
              <c:strCache>
                <c:ptCount val="1"/>
                <c:pt idx="0">
                  <c:v>MO_90_UNCUT_L4</c:v>
                </c:pt>
              </c:strCache>
            </c:strRef>
          </c:tx>
          <c:spPr>
            <a:ln w="21960">
              <a:solidFill>
                <a:srgbClr val="27AE6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27AE60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CHARTS!$A$52:$A$56</c:f>
              <c:numCache>
                <c:formatCode>0.00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CHARTS!$D$52:$D$56</c:f>
              <c:numCache>
                <c:formatCode>0.00</c:formatCode>
                <c:ptCount val="5"/>
                <c:pt idx="0">
                  <c:v>2.71</c:v>
                </c:pt>
                <c:pt idx="1">
                  <c:v>3.72</c:v>
                </c:pt>
                <c:pt idx="2">
                  <c:v>3.84</c:v>
                </c:pt>
                <c:pt idx="3">
                  <c:v>4.0999999999999996</c:v>
                </c:pt>
                <c:pt idx="4">
                  <c:v>4.22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C8A-A440-8203-209FBAA5B392}"/>
            </c:ext>
          </c:extLst>
        </c:ser>
        <c:ser>
          <c:idx val="3"/>
          <c:order val="3"/>
          <c:tx>
            <c:strRef>
              <c:f>CHARTS!$E$51</c:f>
              <c:strCache>
                <c:ptCount val="1"/>
                <c:pt idx="0">
                  <c:v>MO_0_UNCUT_L2</c:v>
                </c:pt>
              </c:strCache>
            </c:strRef>
          </c:tx>
          <c:spPr>
            <a:ln w="21960">
              <a:solidFill>
                <a:srgbClr val="52BE8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52BE80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CHARTS!$A$52:$A$56</c:f>
              <c:numCache>
                <c:formatCode>0.00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CHARTS!$E$52:$E$56</c:f>
              <c:numCache>
                <c:formatCode>0.00</c:formatCode>
                <c:ptCount val="5"/>
                <c:pt idx="0">
                  <c:v>6.14</c:v>
                </c:pt>
                <c:pt idx="1">
                  <c:v>9.07</c:v>
                </c:pt>
                <c:pt idx="2">
                  <c:v>9.75</c:v>
                </c:pt>
                <c:pt idx="3">
                  <c:v>10.1</c:v>
                </c:pt>
                <c:pt idx="4">
                  <c:v>11.2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6C8A-A440-8203-209FBAA5B392}"/>
            </c:ext>
          </c:extLst>
        </c:ser>
        <c:ser>
          <c:idx val="4"/>
          <c:order val="4"/>
          <c:tx>
            <c:strRef>
              <c:f>CHARTS!$F$51</c:f>
              <c:strCache>
                <c:ptCount val="1"/>
                <c:pt idx="0">
                  <c:v>ACC_90_L1</c:v>
                </c:pt>
              </c:strCache>
            </c:strRef>
          </c:tx>
          <c:spPr>
            <a:ln w="21960">
              <a:solidFill>
                <a:srgbClr val="7B3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7B3000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CHARTS!$A$52:$A$56</c:f>
              <c:numCache>
                <c:formatCode>0.00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CHARTS!$F$52:$F$56</c:f>
              <c:numCache>
                <c:formatCode>0.00</c:formatCode>
                <c:ptCount val="5"/>
                <c:pt idx="0">
                  <c:v>26.66</c:v>
                </c:pt>
                <c:pt idx="1">
                  <c:v>46.71</c:v>
                </c:pt>
                <c:pt idx="2">
                  <c:v>50.56</c:v>
                </c:pt>
                <c:pt idx="3">
                  <c:v>75.86</c:v>
                </c:pt>
                <c:pt idx="4">
                  <c:v>78.040000000000006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6C8A-A440-8203-209FBAA5B392}"/>
            </c:ext>
          </c:extLst>
        </c:ser>
        <c:ser>
          <c:idx val="5"/>
          <c:order val="5"/>
          <c:tx>
            <c:strRef>
              <c:f>CHARTS!$G$51</c:f>
              <c:strCache>
                <c:ptCount val="1"/>
                <c:pt idx="0">
                  <c:v>ACC_45_L1</c:v>
                </c:pt>
              </c:strCache>
            </c:strRef>
          </c:tx>
          <c:spPr>
            <a:ln w="21960">
              <a:solidFill>
                <a:srgbClr val="C0512A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C0512A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CHARTS!$A$52:$A$56</c:f>
              <c:numCache>
                <c:formatCode>0.00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CHARTS!$G$52:$G$56</c:f>
              <c:numCache>
                <c:formatCode>0.00</c:formatCode>
                <c:ptCount val="5"/>
                <c:pt idx="0">
                  <c:v>18.07</c:v>
                </c:pt>
                <c:pt idx="1">
                  <c:v>24.44</c:v>
                </c:pt>
                <c:pt idx="2">
                  <c:v>41.5</c:v>
                </c:pt>
                <c:pt idx="3">
                  <c:v>77.36</c:v>
                </c:pt>
                <c:pt idx="4">
                  <c:v>66.650000000000006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6C8A-A440-8203-209FBAA5B392}"/>
            </c:ext>
          </c:extLst>
        </c:ser>
        <c:ser>
          <c:idx val="6"/>
          <c:order val="6"/>
          <c:tx>
            <c:strRef>
              <c:f>CHARTS!$H$51</c:f>
              <c:strCache>
                <c:ptCount val="1"/>
                <c:pt idx="0">
                  <c:v>SC_90_L1</c:v>
                </c:pt>
              </c:strCache>
            </c:strRef>
          </c:tx>
          <c:spPr>
            <a:ln w="21960">
              <a:solidFill>
                <a:srgbClr val="1A4A7A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1A4A7A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CHARTS!$A$52:$A$56</c:f>
              <c:numCache>
                <c:formatCode>0.00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CHARTS!$H$52:$H$56</c:f>
              <c:numCache>
                <c:formatCode>0.00</c:formatCode>
                <c:ptCount val="5"/>
                <c:pt idx="0">
                  <c:v>60.09</c:v>
                </c:pt>
                <c:pt idx="1">
                  <c:v>92.45</c:v>
                </c:pt>
                <c:pt idx="2">
                  <c:v>119.39</c:v>
                </c:pt>
                <c:pt idx="3">
                  <c:v>140.47999999999999</c:v>
                </c:pt>
                <c:pt idx="4">
                  <c:v>183.64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6C8A-A440-8203-209FBAA5B392}"/>
            </c:ext>
          </c:extLst>
        </c:ser>
        <c:ser>
          <c:idx val="7"/>
          <c:order val="7"/>
          <c:tx>
            <c:strRef>
              <c:f>CHARTS!$I$51</c:f>
              <c:strCache>
                <c:ptCount val="1"/>
                <c:pt idx="0">
                  <c:v>SC_90_L2</c:v>
                </c:pt>
              </c:strCache>
            </c:strRef>
          </c:tx>
          <c:spPr>
            <a:ln w="21960">
              <a:solidFill>
                <a:srgbClr val="2E75B6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2E75B6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CHARTS!$A$52:$A$56</c:f>
              <c:numCache>
                <c:formatCode>0.00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CHARTS!$I$52:$I$56</c:f>
              <c:numCache>
                <c:formatCode>0.00</c:formatCode>
                <c:ptCount val="5"/>
                <c:pt idx="0">
                  <c:v>20.8</c:v>
                </c:pt>
                <c:pt idx="1">
                  <c:v>32.21</c:v>
                </c:pt>
                <c:pt idx="2">
                  <c:v>34.78</c:v>
                </c:pt>
                <c:pt idx="3">
                  <c:v>36.770000000000003</c:v>
                </c:pt>
                <c:pt idx="4">
                  <c:v>38.9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6C8A-A440-8203-209FBAA5B392}"/>
            </c:ext>
          </c:extLst>
        </c:ser>
        <c:ser>
          <c:idx val="8"/>
          <c:order val="8"/>
          <c:tx>
            <c:strRef>
              <c:f>CHARTS!$J$51</c:f>
              <c:strCache>
                <c:ptCount val="1"/>
                <c:pt idx="0">
                  <c:v>SC_0_L1</c:v>
                </c:pt>
              </c:strCache>
            </c:strRef>
          </c:tx>
          <c:spPr>
            <a:ln w="21960">
              <a:solidFill>
                <a:srgbClr val="5B9BD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5B9BD5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CHARTS!$A$52:$A$56</c:f>
              <c:numCache>
                <c:formatCode>0.00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CHARTS!$J$52:$J$56</c:f>
              <c:numCache>
                <c:formatCode>0.00</c:formatCode>
                <c:ptCount val="5"/>
                <c:pt idx="0">
                  <c:v>59.8</c:v>
                </c:pt>
                <c:pt idx="1">
                  <c:v>92.45</c:v>
                </c:pt>
                <c:pt idx="2">
                  <c:v>119.39</c:v>
                </c:pt>
                <c:pt idx="3">
                  <c:v>140.57</c:v>
                </c:pt>
                <c:pt idx="4">
                  <c:v>183.64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6C8A-A440-8203-209FBAA5B392}"/>
            </c:ext>
          </c:extLst>
        </c:ser>
        <c:ser>
          <c:idx val="9"/>
          <c:order val="9"/>
          <c:tx>
            <c:strRef>
              <c:f>CHARTS!$K$51</c:f>
              <c:strCache>
                <c:ptCount val="1"/>
                <c:pt idx="0">
                  <c:v>SC_0_L2</c:v>
                </c:pt>
              </c:strCache>
            </c:strRef>
          </c:tx>
          <c:spPr>
            <a:ln w="21960">
              <a:solidFill>
                <a:srgbClr val="9DC3E6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9DC3E6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CHARTS!$A$52:$A$56</c:f>
              <c:numCache>
                <c:formatCode>0.00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CHARTS!$K$52:$K$56</c:f>
              <c:numCache>
                <c:formatCode>0.00</c:formatCode>
                <c:ptCount val="5"/>
                <c:pt idx="0">
                  <c:v>20.8</c:v>
                </c:pt>
                <c:pt idx="1">
                  <c:v>32.229999999999997</c:v>
                </c:pt>
                <c:pt idx="2">
                  <c:v>34.78</c:v>
                </c:pt>
                <c:pt idx="3">
                  <c:v>36.770000000000003</c:v>
                </c:pt>
                <c:pt idx="4">
                  <c:v>38.9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6C8A-A440-8203-209FBAA5B392}"/>
            </c:ext>
          </c:extLst>
        </c:ser>
        <c:ser>
          <c:idx val="10"/>
          <c:order val="10"/>
          <c:tx>
            <c:strRef>
              <c:f>CHARTS!$L$51</c:f>
              <c:strCache>
                <c:ptCount val="1"/>
                <c:pt idx="0">
                  <c:v>KR_0_5_L1</c:v>
                </c:pt>
              </c:strCache>
            </c:strRef>
          </c:tx>
          <c:spPr>
            <a:ln w="21960">
              <a:solidFill>
                <a:srgbClr val="4A235A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4A235A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CHARTS!$A$52:$A$56</c:f>
              <c:numCache>
                <c:formatCode>0.00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CHARTS!$L$52:$L$56</c:f>
              <c:numCache>
                <c:formatCode>0.00</c:formatCode>
                <c:ptCount val="5"/>
                <c:pt idx="0">
                  <c:v>73.7</c:v>
                </c:pt>
                <c:pt idx="1">
                  <c:v>87.28</c:v>
                </c:pt>
                <c:pt idx="2">
                  <c:v>98.58</c:v>
                </c:pt>
                <c:pt idx="3">
                  <c:v>105.88</c:v>
                </c:pt>
                <c:pt idx="4">
                  <c:v>110.68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6C8A-A440-8203-209FBAA5B392}"/>
            </c:ext>
          </c:extLst>
        </c:ser>
        <c:ser>
          <c:idx val="11"/>
          <c:order val="11"/>
          <c:tx>
            <c:strRef>
              <c:f>CHARTS!$M$51</c:f>
              <c:strCache>
                <c:ptCount val="1"/>
                <c:pt idx="0">
                  <c:v>KR_0_10_L1</c:v>
                </c:pt>
              </c:strCache>
            </c:strRef>
          </c:tx>
          <c:spPr>
            <a:ln w="21960">
              <a:solidFill>
                <a:srgbClr val="6C348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6C3483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CHARTS!$A$52:$A$56</c:f>
              <c:numCache>
                <c:formatCode>0.00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CHARTS!$M$52:$M$56</c:f>
              <c:numCache>
                <c:formatCode>0.00</c:formatCode>
                <c:ptCount val="5"/>
                <c:pt idx="0">
                  <c:v>40.5</c:v>
                </c:pt>
                <c:pt idx="1">
                  <c:v>71.180000000000007</c:v>
                </c:pt>
                <c:pt idx="2">
                  <c:v>79.28</c:v>
                </c:pt>
                <c:pt idx="3">
                  <c:v>78.290000000000006</c:v>
                </c:pt>
                <c:pt idx="4">
                  <c:v>88.54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6C8A-A440-8203-209FBAA5B392}"/>
            </c:ext>
          </c:extLst>
        </c:ser>
        <c:ser>
          <c:idx val="12"/>
          <c:order val="12"/>
          <c:tx>
            <c:strRef>
              <c:f>CHARTS!$N$51</c:f>
              <c:strCache>
                <c:ptCount val="1"/>
                <c:pt idx="0">
                  <c:v>KR_0_10_L2</c:v>
                </c:pt>
              </c:strCache>
            </c:strRef>
          </c:tx>
          <c:spPr>
            <a:ln w="21960">
              <a:solidFill>
                <a:srgbClr val="8E44AD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8E44AD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CHARTS!$A$52:$A$56</c:f>
              <c:numCache>
                <c:formatCode>0.00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CHARTS!$N$52:$N$56</c:f>
              <c:numCache>
                <c:formatCode>0.00</c:formatCode>
                <c:ptCount val="5"/>
                <c:pt idx="0">
                  <c:v>31.08</c:v>
                </c:pt>
                <c:pt idx="1">
                  <c:v>44.78</c:v>
                </c:pt>
                <c:pt idx="2">
                  <c:v>48.69</c:v>
                </c:pt>
                <c:pt idx="3">
                  <c:v>54.31</c:v>
                </c:pt>
                <c:pt idx="4">
                  <c:v>70.8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6C8A-A440-8203-209FBAA5B392}"/>
            </c:ext>
          </c:extLst>
        </c:ser>
        <c:ser>
          <c:idx val="13"/>
          <c:order val="13"/>
          <c:tx>
            <c:strRef>
              <c:f>CHARTS!$O$51</c:f>
              <c:strCache>
                <c:ptCount val="1"/>
                <c:pt idx="0">
                  <c:v>KR_0_TWISTING</c:v>
                </c:pt>
              </c:strCache>
            </c:strRef>
          </c:tx>
          <c:spPr>
            <a:ln w="21960">
              <a:solidFill>
                <a:srgbClr val="BB8FCE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BB8FCE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CHARTS!$A$52:$A$56</c:f>
              <c:numCache>
                <c:formatCode>0.00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CHARTS!$O$52:$O$56</c:f>
              <c:numCache>
                <c:formatCode>0.00</c:formatCode>
                <c:ptCount val="5"/>
                <c:pt idx="0">
                  <c:v>114.51</c:v>
                </c:pt>
                <c:pt idx="1">
                  <c:v>152.76</c:v>
                </c:pt>
                <c:pt idx="2">
                  <c:v>181.78</c:v>
                </c:pt>
                <c:pt idx="3">
                  <c:v>207.77</c:v>
                </c:pt>
                <c:pt idx="4">
                  <c:v>229.93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6C8A-A440-8203-209FBAA5B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marker val="1"/>
        <c:smooth val="0"/>
        <c:axId val="10389586"/>
        <c:axId val="55521423"/>
      </c:lineChart>
      <c:catAx>
        <c:axId val="1038958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Calibri"/>
                  </a:rPr>
                  <a:t>Fold Cycles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55521423"/>
        <c:crosses val="autoZero"/>
        <c:auto val="1"/>
        <c:lblAlgn val="ctr"/>
        <c:lblOffset val="100"/>
        <c:noMultiLvlLbl val="0"/>
      </c:catAx>
      <c:valAx>
        <c:axId val="5552142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Calibri"/>
                  </a:rPr>
                  <a:t>Resistance (</a:t>
                </a:r>
                <a:r>
                  <a:rPr lang="el-GR" sz="1000" b="1" strike="noStrike" spc="-1">
                    <a:solidFill>
                      <a:srgbClr val="000000"/>
                    </a:solidFill>
                    <a:latin typeface="Calibri"/>
                  </a:rPr>
                  <a:t>Ω)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10389586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S" sz="1800" b="1" strike="noStrike" spc="-1">
                <a:solidFill>
                  <a:srgbClr val="000000"/>
                </a:solidFill>
                <a:latin typeface="Calibri"/>
              </a:rPr>
              <a:t>Chart 7 — Crease (blue) vs Valley (red): R(</a:t>
            </a:r>
            <a:r>
              <a:rPr lang="el-GR" sz="1800" b="1" strike="noStrike" spc="-1">
                <a:solidFill>
                  <a:srgbClr val="000000"/>
                </a:solidFill>
                <a:latin typeface="Calibri"/>
              </a:rPr>
              <a:t>Ω) </a:t>
            </a:r>
            <a:r>
              <a:rPr lang="es-ES" sz="1800" b="1" strike="noStrike" spc="-1">
                <a:solidFill>
                  <a:srgbClr val="000000"/>
                </a:solidFill>
                <a:latin typeface="Calibri"/>
              </a:rPr>
              <a:t>vs Fold Cycles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CHARTS!$B$61</c:f>
              <c:strCache>
                <c:ptCount val="1"/>
                <c:pt idx="0">
                  <c:v>ACC_90_L1 Crease</c:v>
                </c:pt>
              </c:strCache>
            </c:strRef>
          </c:tx>
          <c:spPr>
            <a:ln w="21960">
              <a:solidFill>
                <a:srgbClr val="1A5276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1A5276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CHARTS!$A$62:$A$66</c:f>
              <c:numCache>
                <c:formatCode>0.00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CHARTS!$B$62:$B$66</c:f>
              <c:numCache>
                <c:formatCode>0.00</c:formatCode>
                <c:ptCount val="5"/>
                <c:pt idx="0">
                  <c:v>26.66</c:v>
                </c:pt>
                <c:pt idx="1">
                  <c:v>46.71</c:v>
                </c:pt>
                <c:pt idx="2">
                  <c:v>50.56</c:v>
                </c:pt>
                <c:pt idx="3">
                  <c:v>75.86</c:v>
                </c:pt>
                <c:pt idx="4">
                  <c:v>78.040000000000006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ACB-504B-A921-F598F2A48083}"/>
            </c:ext>
          </c:extLst>
        </c:ser>
        <c:ser>
          <c:idx val="1"/>
          <c:order val="1"/>
          <c:tx>
            <c:strRef>
              <c:f>CHARTS!$C$61</c:f>
              <c:strCache>
                <c:ptCount val="1"/>
                <c:pt idx="0">
                  <c:v>ACC_45_L1 Crease</c:v>
                </c:pt>
              </c:strCache>
            </c:strRef>
          </c:tx>
          <c:spPr>
            <a:ln w="21960">
              <a:solidFill>
                <a:srgbClr val="21618C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21618C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CHARTS!$A$62:$A$66</c:f>
              <c:numCache>
                <c:formatCode>0.00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CHARTS!$C$62:$C$66</c:f>
              <c:numCache>
                <c:formatCode>0.00</c:formatCode>
                <c:ptCount val="5"/>
                <c:pt idx="0">
                  <c:v>18.07</c:v>
                </c:pt>
                <c:pt idx="1">
                  <c:v>24.44</c:v>
                </c:pt>
                <c:pt idx="2">
                  <c:v>41.5</c:v>
                </c:pt>
                <c:pt idx="3">
                  <c:v>77.36</c:v>
                </c:pt>
                <c:pt idx="4">
                  <c:v>66.650000000000006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ACB-504B-A921-F598F2A48083}"/>
            </c:ext>
          </c:extLst>
        </c:ser>
        <c:ser>
          <c:idx val="2"/>
          <c:order val="2"/>
          <c:tx>
            <c:strRef>
              <c:f>CHARTS!$D$61</c:f>
              <c:strCache>
                <c:ptCount val="1"/>
                <c:pt idx="0">
                  <c:v>ACC_0_L1  Crease</c:v>
                </c:pt>
              </c:strCache>
            </c:strRef>
          </c:tx>
          <c:spPr>
            <a:ln w="21960">
              <a:solidFill>
                <a:srgbClr val="2E86C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2E86C1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CHARTS!$A$62:$A$66</c:f>
              <c:numCache>
                <c:formatCode>0.00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CHARTS!$D$62:$D$66</c:f>
              <c:numCache>
                <c:formatCode>0.00</c:formatCode>
                <c:ptCount val="5"/>
                <c:pt idx="0">
                  <c:v>49.17</c:v>
                </c:pt>
                <c:pt idx="1">
                  <c:v>85.07</c:v>
                </c:pt>
                <c:pt idx="2">
                  <c:v>114.66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ACB-504B-A921-F598F2A48083}"/>
            </c:ext>
          </c:extLst>
        </c:ser>
        <c:ser>
          <c:idx val="3"/>
          <c:order val="3"/>
          <c:tx>
            <c:strRef>
              <c:f>CHARTS!$E$61</c:f>
              <c:strCache>
                <c:ptCount val="1"/>
                <c:pt idx="0">
                  <c:v>KR_0_10_L1 Crease</c:v>
                </c:pt>
              </c:strCache>
            </c:strRef>
          </c:tx>
          <c:spPr>
            <a:ln w="21960">
              <a:solidFill>
                <a:srgbClr val="5DADE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5DADE2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CHARTS!$A$62:$A$66</c:f>
              <c:numCache>
                <c:formatCode>0.00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CHARTS!$E$62:$E$66</c:f>
              <c:numCache>
                <c:formatCode>0.00</c:formatCode>
                <c:ptCount val="5"/>
                <c:pt idx="0">
                  <c:v>40.5</c:v>
                </c:pt>
                <c:pt idx="1">
                  <c:v>71.180000000000007</c:v>
                </c:pt>
                <c:pt idx="2">
                  <c:v>79.28</c:v>
                </c:pt>
                <c:pt idx="3">
                  <c:v>78.290000000000006</c:v>
                </c:pt>
                <c:pt idx="4">
                  <c:v>88.54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BACB-504B-A921-F598F2A48083}"/>
            </c:ext>
          </c:extLst>
        </c:ser>
        <c:ser>
          <c:idx val="4"/>
          <c:order val="4"/>
          <c:tx>
            <c:strRef>
              <c:f>CHARTS!$F$61</c:f>
              <c:strCache>
                <c:ptCount val="1"/>
                <c:pt idx="0">
                  <c:v>KR_0_10_L2 Crease</c:v>
                </c:pt>
              </c:strCache>
            </c:strRef>
          </c:tx>
          <c:spPr>
            <a:ln w="21960">
              <a:solidFill>
                <a:srgbClr val="85C1E9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85C1E9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CHARTS!$A$62:$A$66</c:f>
              <c:numCache>
                <c:formatCode>0.00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CHARTS!$F$62:$F$66</c:f>
              <c:numCache>
                <c:formatCode>0.00</c:formatCode>
                <c:ptCount val="5"/>
                <c:pt idx="0">
                  <c:v>31.08</c:v>
                </c:pt>
                <c:pt idx="1">
                  <c:v>44.78</c:v>
                </c:pt>
                <c:pt idx="2">
                  <c:v>48.69</c:v>
                </c:pt>
                <c:pt idx="3">
                  <c:v>54.31</c:v>
                </c:pt>
                <c:pt idx="4">
                  <c:v>70.8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BACB-504B-A921-F598F2A48083}"/>
            </c:ext>
          </c:extLst>
        </c:ser>
        <c:ser>
          <c:idx val="5"/>
          <c:order val="5"/>
          <c:tx>
            <c:strRef>
              <c:f>CHARTS!$G$61</c:f>
              <c:strCache>
                <c:ptCount val="1"/>
                <c:pt idx="0">
                  <c:v>KR_TWIST Crease</c:v>
                </c:pt>
              </c:strCache>
            </c:strRef>
          </c:tx>
          <c:spPr>
            <a:ln w="21960">
              <a:solidFill>
                <a:srgbClr val="AED6F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AED6F1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CHARTS!$A$62:$A$66</c:f>
              <c:numCache>
                <c:formatCode>0.00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CHARTS!$G$62:$G$66</c:f>
              <c:numCache>
                <c:formatCode>0.00</c:formatCode>
                <c:ptCount val="5"/>
                <c:pt idx="0">
                  <c:v>114.51</c:v>
                </c:pt>
                <c:pt idx="1">
                  <c:v>152.76</c:v>
                </c:pt>
                <c:pt idx="2">
                  <c:v>181.78</c:v>
                </c:pt>
                <c:pt idx="3">
                  <c:v>207.77</c:v>
                </c:pt>
                <c:pt idx="4">
                  <c:v>229.93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BACB-504B-A921-F598F2A48083}"/>
            </c:ext>
          </c:extLst>
        </c:ser>
        <c:ser>
          <c:idx val="6"/>
          <c:order val="6"/>
          <c:tx>
            <c:strRef>
              <c:f>CHARTS!$H$61</c:f>
              <c:strCache>
                <c:ptCount val="1"/>
                <c:pt idx="0">
                  <c:v>SC_90_L1 Valley</c:v>
                </c:pt>
              </c:strCache>
            </c:strRef>
          </c:tx>
          <c:spPr>
            <a:ln w="21960">
              <a:solidFill>
                <a:srgbClr val="7B241C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7B241C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CHARTS!$A$62:$A$66</c:f>
              <c:numCache>
                <c:formatCode>0.00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CHARTS!$H$62:$H$66</c:f>
              <c:numCache>
                <c:formatCode>0.00</c:formatCode>
                <c:ptCount val="5"/>
                <c:pt idx="0">
                  <c:v>60.09</c:v>
                </c:pt>
                <c:pt idx="1">
                  <c:v>92.45</c:v>
                </c:pt>
                <c:pt idx="2">
                  <c:v>119.39</c:v>
                </c:pt>
                <c:pt idx="3">
                  <c:v>140.47999999999999</c:v>
                </c:pt>
                <c:pt idx="4">
                  <c:v>183.64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BACB-504B-A921-F598F2A48083}"/>
            </c:ext>
          </c:extLst>
        </c:ser>
        <c:ser>
          <c:idx val="7"/>
          <c:order val="7"/>
          <c:tx>
            <c:strRef>
              <c:f>CHARTS!$I$61</c:f>
              <c:strCache>
                <c:ptCount val="1"/>
                <c:pt idx="0">
                  <c:v>SC_90_L2 Valley</c:v>
                </c:pt>
              </c:strCache>
            </c:strRef>
          </c:tx>
          <c:spPr>
            <a:ln w="21960">
              <a:solidFill>
                <a:srgbClr val="922B2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922B21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CHARTS!$A$62:$A$66</c:f>
              <c:numCache>
                <c:formatCode>0.00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CHARTS!$I$62:$I$66</c:f>
              <c:numCache>
                <c:formatCode>0.00</c:formatCode>
                <c:ptCount val="5"/>
                <c:pt idx="0">
                  <c:v>20.8</c:v>
                </c:pt>
                <c:pt idx="1">
                  <c:v>32.21</c:v>
                </c:pt>
                <c:pt idx="2">
                  <c:v>34.78</c:v>
                </c:pt>
                <c:pt idx="3">
                  <c:v>36.770000000000003</c:v>
                </c:pt>
                <c:pt idx="4">
                  <c:v>38.9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BACB-504B-A921-F598F2A48083}"/>
            </c:ext>
          </c:extLst>
        </c:ser>
        <c:ser>
          <c:idx val="8"/>
          <c:order val="8"/>
          <c:tx>
            <c:strRef>
              <c:f>CHARTS!$J$61</c:f>
              <c:strCache>
                <c:ptCount val="1"/>
                <c:pt idx="0">
                  <c:v>SC_0_L1  Valley</c:v>
                </c:pt>
              </c:strCache>
            </c:strRef>
          </c:tx>
          <c:spPr>
            <a:ln w="21960">
              <a:solidFill>
                <a:srgbClr val="C0392B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C0392B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CHARTS!$A$62:$A$66</c:f>
              <c:numCache>
                <c:formatCode>0.00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CHARTS!$J$62:$J$66</c:f>
              <c:numCache>
                <c:formatCode>0.00</c:formatCode>
                <c:ptCount val="5"/>
                <c:pt idx="0">
                  <c:v>59.8</c:v>
                </c:pt>
                <c:pt idx="1">
                  <c:v>92.45</c:v>
                </c:pt>
                <c:pt idx="2">
                  <c:v>119.39</c:v>
                </c:pt>
                <c:pt idx="3">
                  <c:v>140.57</c:v>
                </c:pt>
                <c:pt idx="4">
                  <c:v>183.64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BACB-504B-A921-F598F2A48083}"/>
            </c:ext>
          </c:extLst>
        </c:ser>
        <c:ser>
          <c:idx val="9"/>
          <c:order val="9"/>
          <c:tx>
            <c:strRef>
              <c:f>CHARTS!$K$61</c:f>
              <c:strCache>
                <c:ptCount val="1"/>
                <c:pt idx="0">
                  <c:v>SC_0_L2  Valley</c:v>
                </c:pt>
              </c:strCache>
            </c:strRef>
          </c:tx>
          <c:spPr>
            <a:ln w="21960">
              <a:solidFill>
                <a:srgbClr val="E74C3C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E74C3C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CHARTS!$A$62:$A$66</c:f>
              <c:numCache>
                <c:formatCode>0.00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CHARTS!$K$62:$K$66</c:f>
              <c:numCache>
                <c:formatCode>0.00</c:formatCode>
                <c:ptCount val="5"/>
                <c:pt idx="0">
                  <c:v>20.8</c:v>
                </c:pt>
                <c:pt idx="1">
                  <c:v>32.229999999999997</c:v>
                </c:pt>
                <c:pt idx="2">
                  <c:v>34.78</c:v>
                </c:pt>
                <c:pt idx="3">
                  <c:v>36.770000000000003</c:v>
                </c:pt>
                <c:pt idx="4">
                  <c:v>38.9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BACB-504B-A921-F598F2A48083}"/>
            </c:ext>
          </c:extLst>
        </c:ser>
        <c:ser>
          <c:idx val="10"/>
          <c:order val="10"/>
          <c:tx>
            <c:strRef>
              <c:f>CHARTS!$L$61</c:f>
              <c:strCache>
                <c:ptCount val="1"/>
                <c:pt idx="0">
                  <c:v>KR_0_5_L1 Valley</c:v>
                </c:pt>
              </c:strCache>
            </c:strRef>
          </c:tx>
          <c:spPr>
            <a:ln w="21960">
              <a:solidFill>
                <a:srgbClr val="F1948A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1948A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CHARTS!$A$62:$A$66</c:f>
              <c:numCache>
                <c:formatCode>0.00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CHARTS!$L$62:$L$66</c:f>
              <c:numCache>
                <c:formatCode>0.00</c:formatCode>
                <c:ptCount val="5"/>
                <c:pt idx="0">
                  <c:v>73.7</c:v>
                </c:pt>
                <c:pt idx="1">
                  <c:v>87.28</c:v>
                </c:pt>
                <c:pt idx="2">
                  <c:v>98.58</c:v>
                </c:pt>
                <c:pt idx="3">
                  <c:v>105.88</c:v>
                </c:pt>
                <c:pt idx="4">
                  <c:v>110.68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BACB-504B-A921-F598F2A48083}"/>
            </c:ext>
          </c:extLst>
        </c:ser>
        <c:ser>
          <c:idx val="11"/>
          <c:order val="11"/>
          <c:tx>
            <c:strRef>
              <c:f>CHARTS!$M$61</c:f>
              <c:strCache>
                <c:ptCount val="1"/>
                <c:pt idx="0">
                  <c:v>ACC_0_L4 Valley</c:v>
                </c:pt>
              </c:strCache>
            </c:strRef>
          </c:tx>
          <c:spPr>
            <a:ln w="21960">
              <a:solidFill>
                <a:srgbClr val="FADBD8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ADBD8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CHARTS!$A$62:$A$66</c:f>
              <c:numCache>
                <c:formatCode>0.00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CHARTS!$M$62:$M$66</c:f>
              <c:numCache>
                <c:formatCode>0.00</c:formatCode>
                <c:ptCount val="5"/>
                <c:pt idx="0">
                  <c:v>106.19</c:v>
                </c:pt>
                <c:pt idx="1">
                  <c:v>298.10000000000002</c:v>
                </c:pt>
                <c:pt idx="2">
                  <c:v>488.17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BACB-504B-A921-F598F2A48083}"/>
            </c:ext>
          </c:extLst>
        </c:ser>
        <c:ser>
          <c:idx val="12"/>
          <c:order val="12"/>
          <c:tx>
            <c:strRef>
              <c:f>CHARTS!$N$61</c:f>
              <c:strCache>
                <c:ptCount val="1"/>
                <c:pt idx="0">
                  <c:v>KR_BRG_L1 Valley</c:v>
                </c:pt>
              </c:strCache>
            </c:strRef>
          </c:tx>
          <c:spPr>
            <a:ln w="21960">
              <a:solidFill>
                <a:srgbClr val="A93226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A93226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CHARTS!$A$62:$A$66</c:f>
              <c:numCache>
                <c:formatCode>0.00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CHARTS!$N$62:$N$66</c:f>
              <c:numCache>
                <c:formatCode>0.00</c:formatCode>
                <c:ptCount val="5"/>
                <c:pt idx="0">
                  <c:v>15.17</c:v>
                </c:pt>
                <c:pt idx="1">
                  <c:v>338.61</c:v>
                </c:pt>
                <c:pt idx="2">
                  <c:v>357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BACB-504B-A921-F598F2A48083}"/>
            </c:ext>
          </c:extLst>
        </c:ser>
        <c:ser>
          <c:idx val="13"/>
          <c:order val="13"/>
          <c:tx>
            <c:strRef>
              <c:f>CHARTS!$O$61</c:f>
              <c:strCache>
                <c:ptCount val="1"/>
                <c:pt idx="0">
                  <c:v>WB_VALLEY Valley</c:v>
                </c:pt>
              </c:strCache>
            </c:strRef>
          </c:tx>
          <c:spPr>
            <a:ln w="21960">
              <a:solidFill>
                <a:srgbClr val="6E2419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6E2419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CHARTS!$A$62:$A$66</c:f>
              <c:numCache>
                <c:formatCode>0.00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CHARTS!$O$62:$O$66</c:f>
              <c:numCache>
                <c:formatCode>0.00</c:formatCode>
                <c:ptCount val="5"/>
                <c:pt idx="0">
                  <c:v>36.65</c:v>
                </c:pt>
                <c:pt idx="1">
                  <c:v>74.66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BACB-504B-A921-F598F2A48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marker val="1"/>
        <c:smooth val="0"/>
        <c:axId val="66246415"/>
        <c:axId val="33336633"/>
      </c:lineChart>
      <c:catAx>
        <c:axId val="6624641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Calibri"/>
                  </a:rPr>
                  <a:t>Fold Cycles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33336633"/>
        <c:crosses val="autoZero"/>
        <c:auto val="1"/>
        <c:lblAlgn val="ctr"/>
        <c:lblOffset val="100"/>
        <c:noMultiLvlLbl val="0"/>
      </c:catAx>
      <c:valAx>
        <c:axId val="3333663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Calibri"/>
                  </a:rPr>
                  <a:t>Resistance (</a:t>
                </a:r>
                <a:r>
                  <a:rPr lang="el-GR" sz="1000" b="1" strike="noStrike" spc="-1">
                    <a:solidFill>
                      <a:srgbClr val="000000"/>
                    </a:solidFill>
                    <a:latin typeface="Calibri"/>
                  </a:rPr>
                  <a:t>Ω)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66246415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13</xdr:col>
      <xdr:colOff>257969</xdr:colOff>
      <xdr:row>17</xdr:row>
      <xdr:rowOff>6413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620889</xdr:colOff>
      <xdr:row>1</xdr:row>
      <xdr:rowOff>195977</xdr:rowOff>
    </xdr:from>
    <xdr:to>
      <xdr:col>23</xdr:col>
      <xdr:colOff>169332</xdr:colOff>
      <xdr:row>21</xdr:row>
      <xdr:rowOff>112889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591704</xdr:colOff>
      <xdr:row>21</xdr:row>
      <xdr:rowOff>173319</xdr:rowOff>
    </xdr:from>
    <xdr:to>
      <xdr:col>22</xdr:col>
      <xdr:colOff>0</xdr:colOff>
      <xdr:row>40</xdr:row>
      <xdr:rowOff>202046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966930</xdr:colOff>
      <xdr:row>41</xdr:row>
      <xdr:rowOff>18168</xdr:rowOff>
    </xdr:from>
    <xdr:to>
      <xdr:col>25</xdr:col>
      <xdr:colOff>461817</xdr:colOff>
      <xdr:row>60</xdr:row>
      <xdr:rowOff>144318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16</xdr:col>
      <xdr:colOff>22281</xdr:colOff>
      <xdr:row>60</xdr:row>
      <xdr:rowOff>323449</xdr:rowOff>
    </xdr:from>
    <xdr:to>
      <xdr:col>26</xdr:col>
      <xdr:colOff>200526</xdr:colOff>
      <xdr:row>80</xdr:row>
      <xdr:rowOff>44561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16</xdr:col>
      <xdr:colOff>57728</xdr:colOff>
      <xdr:row>81</xdr:row>
      <xdr:rowOff>40384</xdr:rowOff>
    </xdr:from>
    <xdr:to>
      <xdr:col>32</xdr:col>
      <xdr:colOff>519546</xdr:colOff>
      <xdr:row>105</xdr:row>
      <xdr:rowOff>2317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16</xdr:col>
      <xdr:colOff>132686</xdr:colOff>
      <xdr:row>106</xdr:row>
      <xdr:rowOff>86982</xdr:rowOff>
    </xdr:from>
    <xdr:to>
      <xdr:col>33</xdr:col>
      <xdr:colOff>239831</xdr:colOff>
      <xdr:row>136</xdr:row>
      <xdr:rowOff>131622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534AB7"/>
  </sheetPr>
  <dimension ref="A1:AB51"/>
  <sheetViews>
    <sheetView showGridLines="0" zoomScale="150" zoomScaleNormal="75" workbookViewId="0">
      <pane ySplit="3" topLeftCell="A7" activePane="bottomLeft" state="frozen"/>
      <selection pane="bottomLeft" activeCell="A14" sqref="A14:XFD15"/>
    </sheetView>
  </sheetViews>
  <sheetFormatPr baseColWidth="10" defaultColWidth="8.6640625" defaultRowHeight="15" x14ac:dyDescent="0.2"/>
  <cols>
    <col min="1" max="1" width="20" customWidth="1"/>
    <col min="2" max="2" width="10" customWidth="1"/>
    <col min="3" max="3" width="14" customWidth="1"/>
    <col min="4" max="4" width="9" customWidth="1"/>
    <col min="5" max="5" width="8" customWidth="1"/>
    <col min="6" max="6" width="12" customWidth="1"/>
    <col min="7" max="7" width="9" customWidth="1"/>
    <col min="8" max="8" width="16" customWidth="1"/>
    <col min="9" max="9" width="20" customWidth="1"/>
    <col min="10" max="10" width="9" customWidth="1"/>
    <col min="11" max="15" width="10" customWidth="1"/>
    <col min="16" max="16" width="11" customWidth="1"/>
    <col min="17" max="19" width="8" customWidth="1"/>
    <col min="20" max="23" width="9" customWidth="1"/>
    <col min="24" max="24" width="11" customWidth="1"/>
    <col min="25" max="25" width="9" customWidth="1"/>
    <col min="26" max="26" width="22" customWidth="1"/>
    <col min="27" max="27" width="7" customWidth="1"/>
    <col min="28" max="28" width="30" customWidth="1"/>
  </cols>
  <sheetData>
    <row r="1" spans="1:28" ht="38" customHeight="1" x14ac:dyDescent="0.2">
      <c r="A1" s="157" t="s">
        <v>200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</row>
    <row r="2" spans="1:28" ht="18" customHeight="1" x14ac:dyDescent="0.2">
      <c r="A2" s="159" t="s">
        <v>201</v>
      </c>
      <c r="B2" s="160"/>
      <c r="C2" s="159" t="s">
        <v>202</v>
      </c>
      <c r="D2" s="160"/>
      <c r="E2" s="160"/>
      <c r="F2" s="160"/>
      <c r="G2" s="160"/>
      <c r="H2" s="159" t="s">
        <v>203</v>
      </c>
      <c r="I2" s="160"/>
      <c r="J2" s="160"/>
      <c r="K2" s="160"/>
      <c r="L2" s="160"/>
      <c r="M2" s="160"/>
      <c r="N2" s="159" t="s">
        <v>204</v>
      </c>
      <c r="O2" s="160"/>
      <c r="P2" s="160"/>
      <c r="Q2" s="160"/>
      <c r="R2" s="160"/>
      <c r="S2" s="160"/>
      <c r="T2" s="159" t="s">
        <v>205</v>
      </c>
      <c r="U2" s="160"/>
      <c r="V2" s="160"/>
      <c r="W2" s="160"/>
      <c r="X2" s="160"/>
      <c r="Y2" s="159" t="s">
        <v>206</v>
      </c>
      <c r="Z2" s="160"/>
      <c r="AA2" s="160"/>
      <c r="AB2" s="12" t="s">
        <v>207</v>
      </c>
    </row>
    <row r="3" spans="1:28" ht="32" customHeight="1" x14ac:dyDescent="0.2">
      <c r="A3" s="78" t="s">
        <v>3</v>
      </c>
      <c r="B3" s="78" t="s">
        <v>208</v>
      </c>
      <c r="C3" s="78" t="s">
        <v>209</v>
      </c>
      <c r="D3" s="78" t="s">
        <v>210</v>
      </c>
      <c r="E3" s="78" t="s">
        <v>211</v>
      </c>
      <c r="F3" s="78" t="s">
        <v>212</v>
      </c>
      <c r="G3" s="78" t="s">
        <v>213</v>
      </c>
      <c r="H3" s="78" t="s">
        <v>214</v>
      </c>
      <c r="I3" s="78" t="s">
        <v>215</v>
      </c>
      <c r="J3" s="78" t="s">
        <v>216</v>
      </c>
      <c r="K3" s="78" t="s">
        <v>217</v>
      </c>
      <c r="L3" s="78" t="s">
        <v>218</v>
      </c>
      <c r="M3" s="78" t="s">
        <v>219</v>
      </c>
      <c r="N3" s="78" t="s">
        <v>220</v>
      </c>
      <c r="O3" s="78" t="s">
        <v>221</v>
      </c>
      <c r="P3" s="78" t="s">
        <v>222</v>
      </c>
      <c r="Q3" s="78" t="s">
        <v>223</v>
      </c>
      <c r="R3" s="78" t="s">
        <v>224</v>
      </c>
      <c r="S3" s="78" t="s">
        <v>225</v>
      </c>
      <c r="T3" s="78" t="s">
        <v>226</v>
      </c>
      <c r="U3" s="78" t="s">
        <v>227</v>
      </c>
      <c r="V3" s="78" t="s">
        <v>228</v>
      </c>
      <c r="W3" s="78" t="s">
        <v>229</v>
      </c>
      <c r="X3" s="78" t="s">
        <v>230</v>
      </c>
      <c r="Y3" s="78" t="s">
        <v>231</v>
      </c>
      <c r="Z3" s="78" t="s">
        <v>232</v>
      </c>
      <c r="AA3" s="78" t="s">
        <v>233</v>
      </c>
      <c r="AB3" s="78" t="s">
        <v>234</v>
      </c>
    </row>
    <row r="4" spans="1:28" s="1" customFormat="1" ht="16" hidden="1" customHeight="1" x14ac:dyDescent="0.2">
      <c r="A4" s="79" t="s">
        <v>15</v>
      </c>
      <c r="B4" s="13">
        <v>46141</v>
      </c>
      <c r="C4" s="14" t="s">
        <v>235</v>
      </c>
      <c r="D4" s="15">
        <v>80</v>
      </c>
      <c r="E4" s="15">
        <v>1</v>
      </c>
      <c r="F4" s="15" t="s">
        <v>236</v>
      </c>
      <c r="G4" s="14" t="s">
        <v>237</v>
      </c>
      <c r="H4" s="14" t="s">
        <v>238</v>
      </c>
      <c r="I4" s="14" t="s">
        <v>239</v>
      </c>
      <c r="J4" s="15">
        <v>180</v>
      </c>
      <c r="K4" s="15" t="s">
        <v>18</v>
      </c>
      <c r="L4" s="15">
        <v>2</v>
      </c>
      <c r="M4" s="14" t="s">
        <v>123</v>
      </c>
      <c r="N4" s="16">
        <v>36.65</v>
      </c>
      <c r="O4" s="16">
        <v>55</v>
      </c>
      <c r="P4" s="141">
        <f t="shared" ref="P4:P24" si="0">IF(AND(ISNUMBER(N4),ISNUMBER(O4),O4&lt;&gt;0),N4/(O4/25),"")</f>
        <v>16.659090909090907</v>
      </c>
      <c r="Q4" s="17" t="s">
        <v>240</v>
      </c>
      <c r="R4" s="17" t="s">
        <v>240</v>
      </c>
      <c r="S4" s="17" t="s">
        <v>240</v>
      </c>
      <c r="T4" s="16">
        <v>74.66</v>
      </c>
      <c r="U4" s="80" t="s">
        <v>19</v>
      </c>
      <c r="V4" s="80" t="s">
        <v>19</v>
      </c>
      <c r="W4" s="80" t="s">
        <v>19</v>
      </c>
      <c r="X4" s="17" t="str">
        <f t="shared" ref="X4:X25" si="1">IF(ISNUMBER(W4),(W4-N4)/N4,"n/a")</f>
        <v>n/a</v>
      </c>
      <c r="Y4" s="18" t="s">
        <v>21</v>
      </c>
      <c r="Z4" s="19" t="s">
        <v>241</v>
      </c>
      <c r="AA4" s="80" t="s">
        <v>22</v>
      </c>
      <c r="AB4" s="20" t="s">
        <v>242</v>
      </c>
    </row>
    <row r="5" spans="1:28" s="1" customFormat="1" ht="16" hidden="1" customHeight="1" x14ac:dyDescent="0.2">
      <c r="A5" s="81" t="s">
        <v>23</v>
      </c>
      <c r="B5" s="21">
        <v>46139</v>
      </c>
      <c r="C5" s="22" t="s">
        <v>235</v>
      </c>
      <c r="D5" s="23">
        <v>80</v>
      </c>
      <c r="E5" s="23">
        <v>1</v>
      </c>
      <c r="F5" s="23" t="s">
        <v>236</v>
      </c>
      <c r="G5" s="22" t="s">
        <v>237</v>
      </c>
      <c r="H5" s="22" t="s">
        <v>243</v>
      </c>
      <c r="I5" s="22" t="s">
        <v>244</v>
      </c>
      <c r="J5" s="23">
        <v>180</v>
      </c>
      <c r="K5" s="23" t="s">
        <v>26</v>
      </c>
      <c r="L5" s="23" t="s">
        <v>240</v>
      </c>
      <c r="M5" s="22" t="s">
        <v>123</v>
      </c>
      <c r="N5" s="24">
        <v>27.05</v>
      </c>
      <c r="O5" s="24">
        <v>115</v>
      </c>
      <c r="P5" s="140">
        <f t="shared" si="0"/>
        <v>5.8804347826086962</v>
      </c>
      <c r="Q5" s="25" t="s">
        <v>240</v>
      </c>
      <c r="R5" s="25" t="s">
        <v>240</v>
      </c>
      <c r="S5" s="25" t="s">
        <v>240</v>
      </c>
      <c r="T5" s="24">
        <v>17.39</v>
      </c>
      <c r="U5" s="24">
        <v>20.010000000000002</v>
      </c>
      <c r="V5" s="24">
        <v>23.42</v>
      </c>
      <c r="W5" s="24">
        <v>28.433</v>
      </c>
      <c r="X5" s="25">
        <f t="shared" si="1"/>
        <v>5.1127541589648766E-2</v>
      </c>
      <c r="Y5" s="26" t="s">
        <v>27</v>
      </c>
      <c r="Z5" s="27" t="s">
        <v>123</v>
      </c>
      <c r="AA5" s="28"/>
      <c r="AB5" s="29" t="s">
        <v>245</v>
      </c>
    </row>
    <row r="6" spans="1:28" s="1" customFormat="1" ht="16" hidden="1" customHeight="1" x14ac:dyDescent="0.2">
      <c r="A6" s="79" t="s">
        <v>28</v>
      </c>
      <c r="B6" s="13">
        <v>46139</v>
      </c>
      <c r="C6" s="14" t="s">
        <v>235</v>
      </c>
      <c r="D6" s="15">
        <v>80</v>
      </c>
      <c r="E6" s="15">
        <v>1</v>
      </c>
      <c r="F6" s="15" t="s">
        <v>236</v>
      </c>
      <c r="G6" s="14" t="s">
        <v>237</v>
      </c>
      <c r="H6" s="14" t="s">
        <v>243</v>
      </c>
      <c r="I6" s="14" t="s">
        <v>246</v>
      </c>
      <c r="J6" s="15">
        <v>180</v>
      </c>
      <c r="K6" s="15" t="s">
        <v>26</v>
      </c>
      <c r="L6" s="15" t="s">
        <v>240</v>
      </c>
      <c r="M6" s="14" t="s">
        <v>123</v>
      </c>
      <c r="N6" s="16">
        <v>6.38</v>
      </c>
      <c r="O6" s="16">
        <v>35</v>
      </c>
      <c r="P6" s="141">
        <f t="shared" si="0"/>
        <v>4.5571428571428569</v>
      </c>
      <c r="Q6" s="17" t="s">
        <v>240</v>
      </c>
      <c r="R6" s="17" t="s">
        <v>240</v>
      </c>
      <c r="S6" s="17" t="s">
        <v>240</v>
      </c>
      <c r="T6" s="16">
        <v>6.3</v>
      </c>
      <c r="U6" s="16">
        <v>6.31</v>
      </c>
      <c r="V6" s="16">
        <v>6.63</v>
      </c>
      <c r="W6" s="16">
        <v>6.7</v>
      </c>
      <c r="X6" s="17">
        <f t="shared" si="1"/>
        <v>5.0156739811912272E-2</v>
      </c>
      <c r="Y6" s="18" t="s">
        <v>27</v>
      </c>
      <c r="Z6" s="19" t="s">
        <v>123</v>
      </c>
      <c r="AA6" s="30"/>
      <c r="AB6" s="20"/>
    </row>
    <row r="7" spans="1:28" s="1" customFormat="1" ht="16" hidden="1" customHeight="1" x14ac:dyDescent="0.2">
      <c r="A7" s="81" t="s">
        <v>29</v>
      </c>
      <c r="B7" s="21">
        <v>46139</v>
      </c>
      <c r="C7" s="22" t="s">
        <v>235</v>
      </c>
      <c r="D7" s="23">
        <v>80</v>
      </c>
      <c r="E7" s="23">
        <v>1</v>
      </c>
      <c r="F7" s="23" t="s">
        <v>236</v>
      </c>
      <c r="G7" s="22" t="s">
        <v>237</v>
      </c>
      <c r="H7" s="22" t="s">
        <v>243</v>
      </c>
      <c r="I7" s="22" t="s">
        <v>239</v>
      </c>
      <c r="J7" s="23">
        <v>180</v>
      </c>
      <c r="K7" s="23" t="s">
        <v>26</v>
      </c>
      <c r="L7" s="23" t="s">
        <v>240</v>
      </c>
      <c r="M7" s="22" t="s">
        <v>123</v>
      </c>
      <c r="N7" s="24">
        <v>2.71</v>
      </c>
      <c r="O7" s="24">
        <v>27</v>
      </c>
      <c r="P7" s="140">
        <f t="shared" si="0"/>
        <v>2.5092592592592591</v>
      </c>
      <c r="Q7" s="25" t="s">
        <v>240</v>
      </c>
      <c r="R7" s="25" t="s">
        <v>240</v>
      </c>
      <c r="S7" s="25" t="s">
        <v>240</v>
      </c>
      <c r="T7" s="24">
        <v>3.72</v>
      </c>
      <c r="U7" s="24">
        <v>3.84</v>
      </c>
      <c r="V7" s="24">
        <v>4.0999999999999996</v>
      </c>
      <c r="W7" s="24">
        <v>4.22</v>
      </c>
      <c r="X7" s="25">
        <f t="shared" si="1"/>
        <v>0.55719557195571945</v>
      </c>
      <c r="Y7" s="26" t="s">
        <v>27</v>
      </c>
      <c r="Z7" s="27" t="s">
        <v>123</v>
      </c>
      <c r="AA7" s="28"/>
      <c r="AB7" s="29"/>
    </row>
    <row r="8" spans="1:28" s="1" customFormat="1" ht="16" hidden="1" customHeight="1" x14ac:dyDescent="0.2">
      <c r="A8" s="79" t="s">
        <v>30</v>
      </c>
      <c r="B8" s="13">
        <v>46139</v>
      </c>
      <c r="C8" s="14" t="s">
        <v>235</v>
      </c>
      <c r="D8" s="15">
        <v>80</v>
      </c>
      <c r="E8" s="15">
        <v>1</v>
      </c>
      <c r="F8" s="15" t="s">
        <v>236</v>
      </c>
      <c r="G8" s="14" t="s">
        <v>237</v>
      </c>
      <c r="H8" s="14" t="s">
        <v>243</v>
      </c>
      <c r="I8" s="14" t="s">
        <v>247</v>
      </c>
      <c r="J8" s="15">
        <v>180</v>
      </c>
      <c r="K8" s="15" t="s">
        <v>248</v>
      </c>
      <c r="L8" s="15" t="s">
        <v>240</v>
      </c>
      <c r="M8" s="14" t="s">
        <v>123</v>
      </c>
      <c r="N8" s="16">
        <v>6.14</v>
      </c>
      <c r="O8" s="16">
        <v>45</v>
      </c>
      <c r="P8" s="141">
        <f t="shared" si="0"/>
        <v>3.411111111111111</v>
      </c>
      <c r="Q8" s="17" t="s">
        <v>240</v>
      </c>
      <c r="R8" s="17" t="s">
        <v>240</v>
      </c>
      <c r="S8" s="17" t="s">
        <v>240</v>
      </c>
      <c r="T8" s="16">
        <v>9.07</v>
      </c>
      <c r="U8" s="16">
        <v>9.75</v>
      </c>
      <c r="V8" s="16">
        <v>10.1</v>
      </c>
      <c r="W8" s="16">
        <v>11.2</v>
      </c>
      <c r="X8" s="17">
        <f t="shared" si="1"/>
        <v>0.82410423452768733</v>
      </c>
      <c r="Y8" s="18" t="s">
        <v>27</v>
      </c>
      <c r="Z8" s="19" t="s">
        <v>123</v>
      </c>
      <c r="AA8" s="30"/>
      <c r="AB8" s="20"/>
    </row>
    <row r="9" spans="1:28" s="1" customFormat="1" ht="16" hidden="1" customHeight="1" x14ac:dyDescent="0.2">
      <c r="A9" s="81" t="s">
        <v>32</v>
      </c>
      <c r="B9" s="21">
        <v>46140</v>
      </c>
      <c r="C9" s="22" t="s">
        <v>235</v>
      </c>
      <c r="D9" s="23">
        <v>80</v>
      </c>
      <c r="E9" s="23">
        <v>1</v>
      </c>
      <c r="F9" s="23" t="s">
        <v>236</v>
      </c>
      <c r="G9" s="22" t="s">
        <v>237</v>
      </c>
      <c r="H9" s="22" t="s">
        <v>249</v>
      </c>
      <c r="I9" s="22" t="s">
        <v>250</v>
      </c>
      <c r="J9" s="23">
        <v>180</v>
      </c>
      <c r="K9" s="23" t="s">
        <v>34</v>
      </c>
      <c r="L9" s="23" t="s">
        <v>240</v>
      </c>
      <c r="M9" s="22" t="s">
        <v>123</v>
      </c>
      <c r="N9" s="24">
        <v>49.17</v>
      </c>
      <c r="O9" s="24">
        <v>25</v>
      </c>
      <c r="P9" s="140">
        <f t="shared" si="0"/>
        <v>49.17</v>
      </c>
      <c r="Q9" s="25" t="s">
        <v>240</v>
      </c>
      <c r="R9" s="25" t="s">
        <v>240</v>
      </c>
      <c r="S9" s="25" t="s">
        <v>240</v>
      </c>
      <c r="T9" s="24">
        <v>85.066999999999993</v>
      </c>
      <c r="U9" s="24">
        <v>114.66</v>
      </c>
      <c r="V9" s="80" t="s">
        <v>19</v>
      </c>
      <c r="W9" s="80" t="s">
        <v>19</v>
      </c>
      <c r="X9" s="25" t="str">
        <f t="shared" si="1"/>
        <v>n/a</v>
      </c>
      <c r="Y9" s="26" t="s">
        <v>21</v>
      </c>
      <c r="Z9" s="27" t="s">
        <v>251</v>
      </c>
      <c r="AA9" s="28"/>
      <c r="AB9" s="29" t="s">
        <v>252</v>
      </c>
    </row>
    <row r="10" spans="1:28" s="1" customFormat="1" ht="16" hidden="1" customHeight="1" x14ac:dyDescent="0.2">
      <c r="A10" s="79" t="s">
        <v>35</v>
      </c>
      <c r="B10" s="13">
        <v>46140</v>
      </c>
      <c r="C10" s="14" t="s">
        <v>235</v>
      </c>
      <c r="D10" s="15">
        <v>80</v>
      </c>
      <c r="E10" s="15">
        <v>1</v>
      </c>
      <c r="F10" s="15" t="s">
        <v>236</v>
      </c>
      <c r="G10" s="14" t="s">
        <v>237</v>
      </c>
      <c r="H10" s="14" t="s">
        <v>249</v>
      </c>
      <c r="I10" s="14" t="s">
        <v>250</v>
      </c>
      <c r="J10" s="15">
        <v>180</v>
      </c>
      <c r="K10" s="15" t="s">
        <v>18</v>
      </c>
      <c r="L10" s="15" t="s">
        <v>240</v>
      </c>
      <c r="M10" s="14" t="s">
        <v>123</v>
      </c>
      <c r="N10" s="16">
        <v>106.188</v>
      </c>
      <c r="O10" s="16">
        <v>25</v>
      </c>
      <c r="P10" s="141">
        <f t="shared" si="0"/>
        <v>106.188</v>
      </c>
      <c r="Q10" s="17" t="s">
        <v>240</v>
      </c>
      <c r="R10" s="17" t="s">
        <v>240</v>
      </c>
      <c r="S10" s="17" t="s">
        <v>240</v>
      </c>
      <c r="T10" s="16">
        <v>298.10000000000002</v>
      </c>
      <c r="U10" s="16">
        <v>488.16699999999997</v>
      </c>
      <c r="V10" s="80" t="s">
        <v>19</v>
      </c>
      <c r="W10" s="80" t="s">
        <v>19</v>
      </c>
      <c r="X10" s="17" t="str">
        <f>IF(ISNUMBER(W10),(W10-N10)/N10,"n/a")</f>
        <v>n/a</v>
      </c>
      <c r="Y10" s="18" t="s">
        <v>21</v>
      </c>
      <c r="Z10" s="19" t="s">
        <v>253</v>
      </c>
      <c r="AA10" s="30"/>
      <c r="AB10" s="20" t="s">
        <v>254</v>
      </c>
    </row>
    <row r="11" spans="1:28" s="1" customFormat="1" ht="16" hidden="1" customHeight="1" x14ac:dyDescent="0.2">
      <c r="A11" s="81" t="s">
        <v>36</v>
      </c>
      <c r="B11" s="21">
        <v>46140</v>
      </c>
      <c r="C11" s="22" t="s">
        <v>235</v>
      </c>
      <c r="D11" s="23">
        <v>80</v>
      </c>
      <c r="E11" s="23">
        <v>1</v>
      </c>
      <c r="F11" s="23" t="s">
        <v>236</v>
      </c>
      <c r="G11" s="22" t="s">
        <v>237</v>
      </c>
      <c r="H11" s="22" t="s">
        <v>249</v>
      </c>
      <c r="I11" s="22" t="s">
        <v>239</v>
      </c>
      <c r="J11" s="23">
        <v>180</v>
      </c>
      <c r="K11" s="23" t="s">
        <v>34</v>
      </c>
      <c r="L11" s="23" t="s">
        <v>240</v>
      </c>
      <c r="M11" s="22" t="s">
        <v>123</v>
      </c>
      <c r="N11" s="24">
        <v>26.66</v>
      </c>
      <c r="O11" s="24">
        <v>25</v>
      </c>
      <c r="P11" s="140">
        <f t="shared" si="0"/>
        <v>26.66</v>
      </c>
      <c r="Q11" s="25" t="s">
        <v>240</v>
      </c>
      <c r="R11" s="25" t="s">
        <v>240</v>
      </c>
      <c r="S11" s="25" t="s">
        <v>240</v>
      </c>
      <c r="T11" s="24">
        <v>46.713000000000001</v>
      </c>
      <c r="U11" s="24">
        <v>50.56</v>
      </c>
      <c r="V11" s="24">
        <v>75.86</v>
      </c>
      <c r="W11" s="24">
        <v>78.040000000000006</v>
      </c>
      <c r="X11" s="25">
        <f t="shared" si="1"/>
        <v>1.9272318079519883</v>
      </c>
      <c r="Y11" s="26" t="s">
        <v>27</v>
      </c>
      <c r="Z11" s="27" t="s">
        <v>123</v>
      </c>
      <c r="AA11" s="28"/>
      <c r="AB11" s="29"/>
    </row>
    <row r="12" spans="1:28" s="1" customFormat="1" ht="16" hidden="1" customHeight="1" x14ac:dyDescent="0.2">
      <c r="A12" s="79" t="s">
        <v>37</v>
      </c>
      <c r="B12" s="13">
        <v>46140</v>
      </c>
      <c r="C12" s="14" t="s">
        <v>235</v>
      </c>
      <c r="D12" s="15">
        <v>80</v>
      </c>
      <c r="E12" s="15">
        <v>1</v>
      </c>
      <c r="F12" s="15" t="s">
        <v>236</v>
      </c>
      <c r="G12" s="14" t="s">
        <v>237</v>
      </c>
      <c r="H12" s="14" t="s">
        <v>249</v>
      </c>
      <c r="I12" s="14" t="s">
        <v>239</v>
      </c>
      <c r="J12" s="15">
        <v>180</v>
      </c>
      <c r="K12" s="15" t="s">
        <v>18</v>
      </c>
      <c r="L12" s="15" t="s">
        <v>240</v>
      </c>
      <c r="M12" s="14" t="s">
        <v>123</v>
      </c>
      <c r="N12" s="16">
        <v>221.2</v>
      </c>
      <c r="O12" s="16">
        <v>25</v>
      </c>
      <c r="P12" s="141">
        <f t="shared" si="0"/>
        <v>221.2</v>
      </c>
      <c r="Q12" s="17" t="s">
        <v>240</v>
      </c>
      <c r="R12" s="17" t="s">
        <v>240</v>
      </c>
      <c r="S12" s="17" t="s">
        <v>240</v>
      </c>
      <c r="T12" s="80" t="s">
        <v>19</v>
      </c>
      <c r="U12" s="80" t="s">
        <v>19</v>
      </c>
      <c r="V12" s="80" t="s">
        <v>19</v>
      </c>
      <c r="W12" s="80" t="s">
        <v>19</v>
      </c>
      <c r="X12" s="17" t="str">
        <f t="shared" si="1"/>
        <v>n/a</v>
      </c>
      <c r="Y12" s="18" t="s">
        <v>38</v>
      </c>
      <c r="Z12" s="19" t="s">
        <v>255</v>
      </c>
      <c r="AA12" s="30"/>
      <c r="AB12" s="20"/>
    </row>
    <row r="13" spans="1:28" s="1" customFormat="1" ht="16" hidden="1" customHeight="1" x14ac:dyDescent="0.2">
      <c r="A13" s="81" t="s">
        <v>39</v>
      </c>
      <c r="B13" s="21">
        <v>46140</v>
      </c>
      <c r="C13" s="22" t="s">
        <v>235</v>
      </c>
      <c r="D13" s="23">
        <v>80</v>
      </c>
      <c r="E13" s="23">
        <v>1</v>
      </c>
      <c r="F13" s="23" t="s">
        <v>236</v>
      </c>
      <c r="G13" s="22" t="s">
        <v>237</v>
      </c>
      <c r="H13" s="22" t="s">
        <v>249</v>
      </c>
      <c r="I13" s="22" t="s">
        <v>244</v>
      </c>
      <c r="J13" s="23">
        <v>180</v>
      </c>
      <c r="K13" s="23" t="s">
        <v>34</v>
      </c>
      <c r="L13" s="23" t="s">
        <v>240</v>
      </c>
      <c r="M13" s="22" t="s">
        <v>123</v>
      </c>
      <c r="N13" s="24">
        <v>18.07</v>
      </c>
      <c r="O13" s="24">
        <v>50</v>
      </c>
      <c r="P13" s="140">
        <f t="shared" si="0"/>
        <v>9.0350000000000001</v>
      </c>
      <c r="Q13" s="25" t="s">
        <v>240</v>
      </c>
      <c r="R13" s="25" t="s">
        <v>240</v>
      </c>
      <c r="S13" s="25" t="s">
        <v>240</v>
      </c>
      <c r="T13" s="24">
        <v>24.44</v>
      </c>
      <c r="U13" s="24">
        <v>41.5</v>
      </c>
      <c r="V13" s="24">
        <v>77.36</v>
      </c>
      <c r="W13" s="24">
        <v>66.650000000000006</v>
      </c>
      <c r="X13" s="25">
        <f t="shared" si="1"/>
        <v>2.6884338682899838</v>
      </c>
      <c r="Y13" s="26" t="s">
        <v>27</v>
      </c>
      <c r="Z13" s="27" t="s">
        <v>123</v>
      </c>
      <c r="AA13" s="28"/>
      <c r="AB13" s="29" t="s">
        <v>256</v>
      </c>
    </row>
    <row r="14" spans="1:28" s="1" customFormat="1" ht="16" customHeight="1" x14ac:dyDescent="0.2">
      <c r="A14" s="79" t="s">
        <v>40</v>
      </c>
      <c r="B14" s="13">
        <v>46136</v>
      </c>
      <c r="C14" s="14" t="s">
        <v>235</v>
      </c>
      <c r="D14" s="15">
        <v>80</v>
      </c>
      <c r="E14" s="15">
        <v>1</v>
      </c>
      <c r="F14" s="15" t="s">
        <v>236</v>
      </c>
      <c r="G14" s="14" t="s">
        <v>237</v>
      </c>
      <c r="H14" s="14" t="s">
        <v>257</v>
      </c>
      <c r="I14" s="14" t="s">
        <v>239</v>
      </c>
      <c r="J14" s="15">
        <v>180</v>
      </c>
      <c r="K14" s="15" t="s">
        <v>18</v>
      </c>
      <c r="L14" s="15" t="s">
        <v>240</v>
      </c>
      <c r="M14" s="14" t="s">
        <v>123</v>
      </c>
      <c r="N14" s="24">
        <f>92.45*0.65</f>
        <v>60.092500000000001</v>
      </c>
      <c r="O14" s="16">
        <v>53</v>
      </c>
      <c r="P14" s="141">
        <f t="shared" si="0"/>
        <v>28.345518867924529</v>
      </c>
      <c r="Q14" s="16">
        <v>78.33</v>
      </c>
      <c r="R14" s="17" t="s">
        <v>240</v>
      </c>
      <c r="S14" s="16">
        <v>82.363</v>
      </c>
      <c r="T14" s="16">
        <v>92.45</v>
      </c>
      <c r="U14" s="16">
        <v>119.39</v>
      </c>
      <c r="V14" s="16">
        <v>140.47999999999999</v>
      </c>
      <c r="W14" s="16">
        <v>183.63800000000001</v>
      </c>
      <c r="X14" s="17">
        <f t="shared" si="1"/>
        <v>2.0559221200649</v>
      </c>
      <c r="Y14" s="18" t="s">
        <v>27</v>
      </c>
      <c r="Z14" s="19" t="s">
        <v>123</v>
      </c>
      <c r="AA14" s="30"/>
      <c r="AB14" s="20"/>
    </row>
    <row r="15" spans="1:28" s="1" customFormat="1" ht="16" customHeight="1" x14ac:dyDescent="0.2">
      <c r="A15" s="81" t="s">
        <v>42</v>
      </c>
      <c r="B15" s="21">
        <v>46136</v>
      </c>
      <c r="C15" s="22" t="s">
        <v>235</v>
      </c>
      <c r="D15" s="23">
        <v>80</v>
      </c>
      <c r="E15" s="23">
        <v>1</v>
      </c>
      <c r="F15" s="23" t="s">
        <v>236</v>
      </c>
      <c r="G15" s="22" t="s">
        <v>237</v>
      </c>
      <c r="H15" s="22" t="s">
        <v>257</v>
      </c>
      <c r="I15" s="22" t="s">
        <v>239</v>
      </c>
      <c r="J15" s="23">
        <v>180</v>
      </c>
      <c r="K15" s="23" t="s">
        <v>18</v>
      </c>
      <c r="L15" s="23" t="s">
        <v>240</v>
      </c>
      <c r="M15" s="22" t="s">
        <v>123</v>
      </c>
      <c r="N15" s="24">
        <f>32*0.65</f>
        <v>20.8</v>
      </c>
      <c r="O15" s="24">
        <v>55</v>
      </c>
      <c r="P15" s="140">
        <f t="shared" si="0"/>
        <v>9.4545454545454533</v>
      </c>
      <c r="Q15" s="24">
        <v>27.263000000000002</v>
      </c>
      <c r="R15" s="25" t="s">
        <v>240</v>
      </c>
      <c r="S15" s="24">
        <v>27.638000000000002</v>
      </c>
      <c r="T15" s="24">
        <v>32.210999999999999</v>
      </c>
      <c r="U15" s="24">
        <v>34.78</v>
      </c>
      <c r="V15" s="24">
        <v>36.770000000000003</v>
      </c>
      <c r="W15" s="24">
        <v>38.9</v>
      </c>
      <c r="X15" s="25">
        <f t="shared" si="1"/>
        <v>0.8701923076923076</v>
      </c>
      <c r="Y15" s="26" t="s">
        <v>27</v>
      </c>
      <c r="Z15" s="27" t="s">
        <v>123</v>
      </c>
      <c r="AA15" s="28"/>
      <c r="AB15" s="29"/>
    </row>
    <row r="16" spans="1:28" s="1" customFormat="1" ht="16" customHeight="1" x14ac:dyDescent="0.2">
      <c r="A16" s="79" t="s">
        <v>43</v>
      </c>
      <c r="B16" s="13">
        <v>46136</v>
      </c>
      <c r="C16" s="14" t="s">
        <v>235</v>
      </c>
      <c r="D16" s="15">
        <v>80</v>
      </c>
      <c r="E16" s="15">
        <v>1</v>
      </c>
      <c r="F16" s="15" t="s">
        <v>236</v>
      </c>
      <c r="G16" s="14" t="s">
        <v>237</v>
      </c>
      <c r="H16" s="14" t="s">
        <v>257</v>
      </c>
      <c r="I16" s="14" t="s">
        <v>247</v>
      </c>
      <c r="J16" s="15">
        <v>180</v>
      </c>
      <c r="K16" s="15" t="s">
        <v>18</v>
      </c>
      <c r="L16" s="15" t="s">
        <v>240</v>
      </c>
      <c r="M16" s="14" t="s">
        <v>123</v>
      </c>
      <c r="N16" s="149">
        <f>92*0.65</f>
        <v>59.800000000000004</v>
      </c>
      <c r="O16" s="150">
        <v>75</v>
      </c>
      <c r="P16" s="151">
        <f t="shared" si="0"/>
        <v>19.933333333333334</v>
      </c>
      <c r="Q16" s="152" t="s">
        <v>240</v>
      </c>
      <c r="R16" s="152" t="s">
        <v>240</v>
      </c>
      <c r="S16" s="152" t="s">
        <v>240</v>
      </c>
      <c r="T16" s="150">
        <v>92.45</v>
      </c>
      <c r="U16" s="150">
        <v>119.39</v>
      </c>
      <c r="V16" s="150">
        <v>140.57</v>
      </c>
      <c r="W16" s="150">
        <v>183.63</v>
      </c>
      <c r="X16" s="152">
        <f t="shared" si="1"/>
        <v>2.0707357859531768</v>
      </c>
      <c r="Y16" s="153" t="s">
        <v>27</v>
      </c>
      <c r="Z16" s="19" t="s">
        <v>123</v>
      </c>
      <c r="AA16" s="30"/>
      <c r="AB16" s="20"/>
    </row>
    <row r="17" spans="1:28" s="1" customFormat="1" ht="16" customHeight="1" x14ac:dyDescent="0.2">
      <c r="A17" s="81" t="s">
        <v>44</v>
      </c>
      <c r="B17" s="21">
        <v>46136</v>
      </c>
      <c r="C17" s="22" t="s">
        <v>235</v>
      </c>
      <c r="D17" s="23">
        <v>80</v>
      </c>
      <c r="E17" s="23">
        <v>1</v>
      </c>
      <c r="F17" s="23" t="s">
        <v>236</v>
      </c>
      <c r="G17" s="22" t="s">
        <v>237</v>
      </c>
      <c r="H17" s="22" t="s">
        <v>257</v>
      </c>
      <c r="I17" s="22" t="s">
        <v>247</v>
      </c>
      <c r="J17" s="23">
        <v>180</v>
      </c>
      <c r="K17" s="23" t="s">
        <v>18</v>
      </c>
      <c r="L17" s="23" t="s">
        <v>240</v>
      </c>
      <c r="M17" s="22" t="s">
        <v>123</v>
      </c>
      <c r="N17" s="149">
        <f>32*0.65</f>
        <v>20.8</v>
      </c>
      <c r="O17" s="149">
        <v>75</v>
      </c>
      <c r="P17" s="154">
        <f t="shared" si="0"/>
        <v>6.9333333333333336</v>
      </c>
      <c r="Q17" s="155" t="s">
        <v>240</v>
      </c>
      <c r="R17" s="155" t="s">
        <v>240</v>
      </c>
      <c r="S17" s="155" t="s">
        <v>240</v>
      </c>
      <c r="T17" s="149">
        <v>32.229999999999997</v>
      </c>
      <c r="U17" s="149" t="s">
        <v>258</v>
      </c>
      <c r="V17" s="149">
        <v>36.770000000000003</v>
      </c>
      <c r="W17" s="149">
        <v>38.9</v>
      </c>
      <c r="X17" s="155">
        <f t="shared" si="1"/>
        <v>0.8701923076923076</v>
      </c>
      <c r="Y17" s="156" t="s">
        <v>27</v>
      </c>
      <c r="Z17" s="27" t="s">
        <v>123</v>
      </c>
      <c r="AA17" s="28"/>
      <c r="AB17" s="29"/>
    </row>
    <row r="18" spans="1:28" s="1" customFormat="1" ht="16" hidden="1" customHeight="1" x14ac:dyDescent="0.2">
      <c r="A18" s="79" t="s">
        <v>45</v>
      </c>
      <c r="B18" s="13">
        <v>46153</v>
      </c>
      <c r="C18" s="14" t="s">
        <v>235</v>
      </c>
      <c r="D18" s="15">
        <v>80</v>
      </c>
      <c r="E18" s="15">
        <v>1</v>
      </c>
      <c r="F18" s="15" t="s">
        <v>236</v>
      </c>
      <c r="G18" s="14" t="s">
        <v>237</v>
      </c>
      <c r="H18" s="14" t="s">
        <v>259</v>
      </c>
      <c r="I18" s="14" t="s">
        <v>247</v>
      </c>
      <c r="J18" s="15">
        <v>180</v>
      </c>
      <c r="K18" s="15" t="s">
        <v>18</v>
      </c>
      <c r="L18" s="15" t="s">
        <v>240</v>
      </c>
      <c r="M18" s="14">
        <v>5</v>
      </c>
      <c r="N18" s="16">
        <v>73.7</v>
      </c>
      <c r="O18" s="16">
        <v>95</v>
      </c>
      <c r="P18" s="141">
        <f t="shared" si="0"/>
        <v>19.394736842105264</v>
      </c>
      <c r="Q18" s="17" t="s">
        <v>240</v>
      </c>
      <c r="R18" s="17"/>
      <c r="S18" s="17"/>
      <c r="T18" s="16">
        <v>87.28</v>
      </c>
      <c r="U18" s="16">
        <v>98.58</v>
      </c>
      <c r="V18" s="16">
        <v>105.88</v>
      </c>
      <c r="W18" s="16">
        <v>110.68</v>
      </c>
      <c r="X18" s="17">
        <f t="shared" si="1"/>
        <v>0.50176390773405699</v>
      </c>
      <c r="Y18" s="18" t="s">
        <v>27</v>
      </c>
      <c r="Z18" s="19" t="s">
        <v>123</v>
      </c>
      <c r="AA18" s="30"/>
      <c r="AB18" s="20"/>
    </row>
    <row r="19" spans="1:28" s="1" customFormat="1" ht="16" hidden="1" customHeight="1" x14ac:dyDescent="0.2">
      <c r="A19" s="81" t="s">
        <v>47</v>
      </c>
      <c r="B19" s="21">
        <v>46153</v>
      </c>
      <c r="C19" s="22" t="s">
        <v>235</v>
      </c>
      <c r="D19" s="23">
        <v>80</v>
      </c>
      <c r="E19" s="23">
        <v>1</v>
      </c>
      <c r="F19" s="23" t="s">
        <v>236</v>
      </c>
      <c r="G19" s="22" t="s">
        <v>237</v>
      </c>
      <c r="H19" s="22" t="s">
        <v>259</v>
      </c>
      <c r="I19" s="22" t="s">
        <v>247</v>
      </c>
      <c r="J19" s="23">
        <v>180</v>
      </c>
      <c r="K19" s="23" t="s">
        <v>34</v>
      </c>
      <c r="L19" s="23" t="s">
        <v>240</v>
      </c>
      <c r="M19" s="22">
        <v>10</v>
      </c>
      <c r="N19" s="24">
        <v>40.5</v>
      </c>
      <c r="O19" s="24">
        <v>75</v>
      </c>
      <c r="P19" s="140">
        <f t="shared" si="0"/>
        <v>13.5</v>
      </c>
      <c r="Q19" s="25"/>
      <c r="R19" s="25"/>
      <c r="S19" s="25"/>
      <c r="T19" s="24">
        <v>71.180000000000007</v>
      </c>
      <c r="U19" s="24">
        <v>79.28</v>
      </c>
      <c r="V19" s="24">
        <v>78.290000000000006</v>
      </c>
      <c r="W19" s="24">
        <v>88.54</v>
      </c>
      <c r="X19" s="25">
        <f t="shared" si="1"/>
        <v>1.186172839506173</v>
      </c>
      <c r="Y19" s="26" t="s">
        <v>27</v>
      </c>
      <c r="Z19" s="27" t="s">
        <v>123</v>
      </c>
      <c r="AA19" s="28"/>
      <c r="AB19" s="29"/>
    </row>
    <row r="20" spans="1:28" s="1" customFormat="1" ht="16" hidden="1" customHeight="1" x14ac:dyDescent="0.2">
      <c r="A20" s="79" t="s">
        <v>48</v>
      </c>
      <c r="B20" s="13">
        <v>46153</v>
      </c>
      <c r="C20" s="14" t="s">
        <v>235</v>
      </c>
      <c r="D20" s="15">
        <v>80</v>
      </c>
      <c r="E20" s="15">
        <v>1</v>
      </c>
      <c r="F20" s="15" t="s">
        <v>236</v>
      </c>
      <c r="G20" s="14" t="s">
        <v>237</v>
      </c>
      <c r="H20" s="14" t="s">
        <v>259</v>
      </c>
      <c r="I20" s="14" t="s">
        <v>247</v>
      </c>
      <c r="J20" s="15">
        <v>180</v>
      </c>
      <c r="K20" s="15" t="s">
        <v>34</v>
      </c>
      <c r="L20" s="15" t="s">
        <v>240</v>
      </c>
      <c r="M20" s="14">
        <v>10</v>
      </c>
      <c r="N20" s="16">
        <v>31.08</v>
      </c>
      <c r="O20" s="16">
        <v>75</v>
      </c>
      <c r="P20" s="141">
        <f t="shared" si="0"/>
        <v>10.36</v>
      </c>
      <c r="Q20" s="17"/>
      <c r="R20" s="17"/>
      <c r="S20" s="17"/>
      <c r="T20" s="16">
        <v>44.78</v>
      </c>
      <c r="U20" s="16">
        <v>48.69</v>
      </c>
      <c r="V20" s="16">
        <v>54.31</v>
      </c>
      <c r="W20" s="16">
        <v>70.8</v>
      </c>
      <c r="X20" s="17">
        <f t="shared" si="1"/>
        <v>1.2779922779922781</v>
      </c>
      <c r="Y20" s="18" t="s">
        <v>27</v>
      </c>
      <c r="Z20" s="19" t="s">
        <v>123</v>
      </c>
      <c r="AA20" s="30"/>
      <c r="AB20" s="20"/>
    </row>
    <row r="21" spans="1:28" s="1" customFormat="1" ht="16" hidden="1" customHeight="1" x14ac:dyDescent="0.2">
      <c r="A21" s="81" t="s">
        <v>49</v>
      </c>
      <c r="B21" s="21">
        <v>46153</v>
      </c>
      <c r="C21" s="22" t="s">
        <v>235</v>
      </c>
      <c r="D21" s="23">
        <v>80</v>
      </c>
      <c r="E21" s="23">
        <v>1</v>
      </c>
      <c r="F21" s="23" t="s">
        <v>236</v>
      </c>
      <c r="G21" s="22" t="s">
        <v>237</v>
      </c>
      <c r="H21" s="22" t="s">
        <v>259</v>
      </c>
      <c r="I21" s="22" t="s">
        <v>239</v>
      </c>
      <c r="J21" s="23">
        <v>180</v>
      </c>
      <c r="K21" s="23" t="s">
        <v>18</v>
      </c>
      <c r="L21" s="23" t="s">
        <v>240</v>
      </c>
      <c r="M21" s="22">
        <v>40</v>
      </c>
      <c r="N21" s="24">
        <v>15.17</v>
      </c>
      <c r="O21" s="24">
        <v>95</v>
      </c>
      <c r="P21" s="140">
        <f t="shared" si="0"/>
        <v>3.992105263157895</v>
      </c>
      <c r="Q21" s="25"/>
      <c r="R21" s="25"/>
      <c r="S21" s="25"/>
      <c r="T21" s="24">
        <v>338.61099999999999</v>
      </c>
      <c r="U21" s="24">
        <v>357</v>
      </c>
      <c r="V21" s="80" t="s">
        <v>19</v>
      </c>
      <c r="W21" s="80" t="s">
        <v>19</v>
      </c>
      <c r="X21" s="25" t="str">
        <f t="shared" si="1"/>
        <v>n/a</v>
      </c>
      <c r="Y21" s="26" t="s">
        <v>21</v>
      </c>
      <c r="Z21" s="27" t="s">
        <v>260</v>
      </c>
      <c r="AA21" s="28"/>
      <c r="AB21" s="29" t="s">
        <v>261</v>
      </c>
    </row>
    <row r="22" spans="1:28" s="1" customFormat="1" ht="16" hidden="1" customHeight="1" x14ac:dyDescent="0.2">
      <c r="A22" s="79" t="s">
        <v>50</v>
      </c>
      <c r="B22" s="13">
        <v>46153</v>
      </c>
      <c r="C22" s="14" t="s">
        <v>235</v>
      </c>
      <c r="D22" s="15">
        <v>80</v>
      </c>
      <c r="E22" s="15">
        <v>1</v>
      </c>
      <c r="F22" s="15" t="s">
        <v>236</v>
      </c>
      <c r="G22" s="14" t="s">
        <v>237</v>
      </c>
      <c r="H22" s="14" t="s">
        <v>259</v>
      </c>
      <c r="I22" s="14" t="s">
        <v>239</v>
      </c>
      <c r="J22" s="15">
        <v>180</v>
      </c>
      <c r="K22" s="15" t="s">
        <v>18</v>
      </c>
      <c r="L22" s="15"/>
      <c r="M22" s="14">
        <v>40</v>
      </c>
      <c r="N22" s="16">
        <v>17.37</v>
      </c>
      <c r="O22" s="16">
        <v>95</v>
      </c>
      <c r="P22" s="141">
        <f t="shared" si="0"/>
        <v>4.5710526315789481</v>
      </c>
      <c r="Q22" s="17"/>
      <c r="R22" s="17"/>
      <c r="S22" s="17"/>
      <c r="T22" s="80" t="s">
        <v>19</v>
      </c>
      <c r="U22" s="80" t="s">
        <v>19</v>
      </c>
      <c r="V22" s="80" t="s">
        <v>19</v>
      </c>
      <c r="W22" s="80" t="s">
        <v>19</v>
      </c>
      <c r="X22" s="17" t="str">
        <f t="shared" si="1"/>
        <v>n/a</v>
      </c>
      <c r="Y22" s="18" t="s">
        <v>51</v>
      </c>
      <c r="Z22" s="19" t="s">
        <v>260</v>
      </c>
      <c r="AA22" s="30"/>
      <c r="AB22" s="20" t="s">
        <v>261</v>
      </c>
    </row>
    <row r="23" spans="1:28" s="1" customFormat="1" ht="16" customHeight="1" x14ac:dyDescent="0.2">
      <c r="A23" s="81" t="s">
        <v>52</v>
      </c>
      <c r="B23" s="21">
        <v>46155</v>
      </c>
      <c r="C23" s="22" t="s">
        <v>235</v>
      </c>
      <c r="D23" s="23">
        <v>80</v>
      </c>
      <c r="E23" s="23">
        <v>1</v>
      </c>
      <c r="F23" s="23" t="s">
        <v>236</v>
      </c>
      <c r="G23" s="22" t="s">
        <v>237</v>
      </c>
      <c r="H23" s="22" t="s">
        <v>257</v>
      </c>
      <c r="I23" s="22" t="s">
        <v>244</v>
      </c>
      <c r="J23" s="23">
        <v>180</v>
      </c>
      <c r="K23" s="23" t="s">
        <v>18</v>
      </c>
      <c r="L23" s="23"/>
      <c r="M23" s="22" t="s">
        <v>123</v>
      </c>
      <c r="N23" s="24">
        <v>91.46</v>
      </c>
      <c r="O23" s="24">
        <v>90</v>
      </c>
      <c r="P23" s="140">
        <f t="shared" si="0"/>
        <v>25.405555555555551</v>
      </c>
      <c r="Q23" s="25"/>
      <c r="R23" s="25"/>
      <c r="S23" s="25"/>
      <c r="T23" s="80" t="s">
        <v>19</v>
      </c>
      <c r="U23" s="80" t="s">
        <v>19</v>
      </c>
      <c r="V23" s="80" t="s">
        <v>19</v>
      </c>
      <c r="W23" s="80" t="s">
        <v>19</v>
      </c>
      <c r="X23" s="25" t="str">
        <f t="shared" si="1"/>
        <v>n/a</v>
      </c>
      <c r="Y23" s="26" t="s">
        <v>51</v>
      </c>
      <c r="Z23" s="27" t="s">
        <v>260</v>
      </c>
      <c r="AA23" s="28"/>
      <c r="AB23" s="29"/>
    </row>
    <row r="24" spans="1:28" s="1" customFormat="1" ht="16" hidden="1" customHeight="1" x14ac:dyDescent="0.2">
      <c r="A24" s="79" t="s">
        <v>53</v>
      </c>
      <c r="B24" s="13">
        <v>46155</v>
      </c>
      <c r="C24" s="14" t="s">
        <v>262</v>
      </c>
      <c r="D24" s="15">
        <v>160</v>
      </c>
      <c r="E24" s="15">
        <v>1</v>
      </c>
      <c r="F24" s="15" t="s">
        <v>236</v>
      </c>
      <c r="G24" s="14" t="s">
        <v>263</v>
      </c>
      <c r="H24" s="14" t="s">
        <v>264</v>
      </c>
      <c r="I24" s="14" t="s">
        <v>265</v>
      </c>
      <c r="J24" s="15">
        <v>180</v>
      </c>
      <c r="K24" s="15" t="s">
        <v>34</v>
      </c>
      <c r="L24" s="15"/>
      <c r="M24" s="14">
        <v>95</v>
      </c>
      <c r="N24" s="16">
        <v>114.51</v>
      </c>
      <c r="O24" s="16">
        <v>100</v>
      </c>
      <c r="P24" s="141">
        <f t="shared" si="0"/>
        <v>28.627500000000001</v>
      </c>
      <c r="Q24" s="17"/>
      <c r="R24" s="17"/>
      <c r="S24" s="17"/>
      <c r="T24" s="16">
        <v>152.76</v>
      </c>
      <c r="U24" s="16">
        <v>181.78</v>
      </c>
      <c r="V24" s="16">
        <v>207.77</v>
      </c>
      <c r="W24" s="16">
        <v>229.93</v>
      </c>
      <c r="X24" s="17">
        <f t="shared" si="1"/>
        <v>1.0079469042005065</v>
      </c>
      <c r="Y24" s="18" t="s">
        <v>27</v>
      </c>
      <c r="Z24" s="19" t="s">
        <v>123</v>
      </c>
      <c r="AA24" s="30"/>
      <c r="AB24" s="20" t="s">
        <v>34</v>
      </c>
    </row>
    <row r="25" spans="1:28" s="1" customFormat="1" ht="24" hidden="1" customHeight="1" x14ac:dyDescent="0.2">
      <c r="A25" s="2"/>
      <c r="B25" s="3"/>
      <c r="C25" s="2"/>
      <c r="D25" s="4"/>
      <c r="E25" s="4"/>
      <c r="F25" s="4"/>
      <c r="G25" s="2"/>
      <c r="H25" s="5"/>
      <c r="I25" s="5"/>
      <c r="J25" s="4"/>
      <c r="K25" s="4"/>
      <c r="L25" s="4"/>
      <c r="M25" s="2"/>
      <c r="N25" s="2"/>
      <c r="O25" s="4"/>
      <c r="P25" s="2"/>
      <c r="Q25" s="2"/>
      <c r="R25" s="2"/>
      <c r="S25" s="2"/>
      <c r="T25" s="2"/>
      <c r="U25" s="2"/>
      <c r="V25" s="2"/>
      <c r="W25" s="2"/>
      <c r="X25" s="6" t="str">
        <f t="shared" si="1"/>
        <v>n/a</v>
      </c>
      <c r="Y25" s="2"/>
      <c r="Z25" s="6"/>
      <c r="AA25" s="6"/>
      <c r="AB25" s="6"/>
    </row>
    <row r="26" spans="1:28" s="1" customFormat="1" ht="24" customHeight="1" x14ac:dyDescent="0.2">
      <c r="A26" s="2"/>
      <c r="B26" s="3"/>
      <c r="C26" s="2"/>
      <c r="D26" s="4"/>
      <c r="E26" s="4"/>
      <c r="F26" s="4"/>
      <c r="G26" s="2"/>
      <c r="H26" s="5"/>
      <c r="I26" s="5"/>
      <c r="J26" s="4"/>
      <c r="K26" s="4"/>
      <c r="L26" s="4"/>
      <c r="M26" s="2"/>
      <c r="N26" s="2"/>
      <c r="O26" s="4"/>
      <c r="P26" s="2"/>
      <c r="Q26" s="2"/>
      <c r="R26" s="2"/>
      <c r="S26" s="2"/>
      <c r="T26" s="2"/>
      <c r="U26" s="2"/>
      <c r="V26" s="2"/>
      <c r="W26" s="2"/>
      <c r="X26" s="6"/>
      <c r="Y26" s="2"/>
      <c r="Z26" s="6"/>
      <c r="AA26" s="6"/>
      <c r="AB26" s="6"/>
    </row>
    <row r="27" spans="1:28" s="1" customFormat="1" ht="24" customHeight="1" x14ac:dyDescent="0.2">
      <c r="A27" s="2"/>
      <c r="B27" s="3"/>
      <c r="C27" s="2"/>
      <c r="D27" s="4"/>
      <c r="E27" s="4"/>
      <c r="F27" s="4"/>
      <c r="G27" s="2"/>
      <c r="H27" s="5"/>
      <c r="I27" s="5"/>
      <c r="J27" s="4"/>
      <c r="K27" s="4"/>
      <c r="L27" s="4"/>
      <c r="M27" s="2"/>
      <c r="N27" s="2"/>
      <c r="O27" s="4"/>
      <c r="P27" s="2"/>
      <c r="Q27" s="2"/>
      <c r="R27" s="2"/>
      <c r="S27" s="2"/>
      <c r="T27" s="2"/>
      <c r="U27" s="2"/>
      <c r="V27" s="2"/>
      <c r="W27" s="2"/>
      <c r="X27" s="6"/>
      <c r="Y27" s="2"/>
      <c r="Z27" s="6"/>
      <c r="AA27" s="6"/>
      <c r="AB27" s="6"/>
    </row>
    <row r="28" spans="1:28" s="1" customFormat="1" ht="24" customHeight="1" x14ac:dyDescent="0.2">
      <c r="A28" s="2"/>
      <c r="B28" s="3"/>
      <c r="C28" s="2"/>
      <c r="D28" s="4"/>
      <c r="E28" s="4"/>
      <c r="F28" s="4"/>
      <c r="G28" s="2"/>
      <c r="H28" s="5"/>
      <c r="I28" s="5"/>
      <c r="J28" s="4"/>
      <c r="K28" s="4"/>
      <c r="L28" s="4"/>
      <c r="M28" s="2"/>
      <c r="N28" s="2"/>
      <c r="O28" s="4"/>
      <c r="P28" s="2"/>
      <c r="Q28" s="2"/>
      <c r="R28" s="2"/>
      <c r="S28" s="2"/>
      <c r="T28" s="2"/>
      <c r="U28" s="2"/>
      <c r="V28" s="2"/>
      <c r="W28" s="2"/>
      <c r="X28" s="6"/>
      <c r="Y28" s="2"/>
      <c r="Z28" s="6"/>
      <c r="AA28" s="6"/>
      <c r="AB28" s="6"/>
    </row>
    <row r="29" spans="1:28" s="1" customFormat="1" ht="24" customHeight="1" x14ac:dyDescent="0.2">
      <c r="A29" s="2"/>
      <c r="B29" s="3"/>
      <c r="C29" s="2"/>
      <c r="D29" s="4"/>
      <c r="E29" s="4"/>
      <c r="F29" s="4"/>
      <c r="G29" s="2"/>
      <c r="H29" s="5"/>
      <c r="I29" s="5"/>
      <c r="J29" s="4"/>
      <c r="K29" s="4"/>
      <c r="L29" s="4"/>
      <c r="M29" s="2"/>
      <c r="N29" s="2"/>
      <c r="O29" s="4"/>
      <c r="P29" s="2"/>
      <c r="Q29" s="2"/>
      <c r="R29" s="2"/>
      <c r="S29" s="2"/>
      <c r="T29" s="2"/>
      <c r="U29" s="2"/>
      <c r="V29" s="2"/>
      <c r="W29" s="2"/>
      <c r="X29" s="6"/>
      <c r="Y29" s="2"/>
      <c r="Z29" s="6"/>
      <c r="AA29" s="6"/>
      <c r="AB29" s="6"/>
    </row>
    <row r="30" spans="1:28" s="1" customFormat="1" ht="24" customHeight="1" x14ac:dyDescent="0.2">
      <c r="A30" s="2"/>
      <c r="B30" s="3"/>
      <c r="C30" s="2"/>
      <c r="D30" s="4"/>
      <c r="E30" s="4"/>
      <c r="F30" s="4"/>
      <c r="G30" s="2"/>
      <c r="H30" s="5"/>
      <c r="I30" s="5"/>
      <c r="J30" s="4"/>
      <c r="K30" s="4"/>
      <c r="L30" s="4"/>
      <c r="M30" s="2"/>
      <c r="N30" s="2"/>
      <c r="O30" s="4"/>
      <c r="P30" s="2"/>
      <c r="Q30" s="2"/>
      <c r="R30" s="2"/>
      <c r="S30" s="2"/>
      <c r="T30" s="2"/>
      <c r="U30" s="2"/>
      <c r="V30" s="2"/>
      <c r="W30" s="2"/>
      <c r="X30" s="6"/>
      <c r="Y30" s="2"/>
      <c r="Z30" s="6"/>
      <c r="AA30" s="6"/>
      <c r="AB30" s="6"/>
    </row>
    <row r="31" spans="1:28" s="1" customFormat="1" ht="24" customHeight="1" x14ac:dyDescent="0.2">
      <c r="A31" s="2"/>
      <c r="B31" s="3"/>
      <c r="C31" s="2"/>
      <c r="D31" s="4"/>
      <c r="E31" s="4"/>
      <c r="F31" s="4"/>
      <c r="G31" s="2"/>
      <c r="H31" s="5"/>
      <c r="I31" s="5"/>
      <c r="J31" s="4"/>
      <c r="K31" s="4"/>
      <c r="L31" s="4"/>
      <c r="M31" s="2"/>
      <c r="N31" s="2"/>
      <c r="O31" s="4"/>
      <c r="P31" s="2"/>
      <c r="Q31" s="2"/>
      <c r="R31" s="2"/>
      <c r="S31" s="2"/>
      <c r="T31" s="2"/>
      <c r="U31" s="2"/>
      <c r="V31" s="2"/>
      <c r="W31" s="2"/>
      <c r="X31" s="6"/>
      <c r="Y31" s="2"/>
      <c r="Z31" s="6"/>
      <c r="AA31" s="6"/>
      <c r="AB31" s="6"/>
    </row>
    <row r="32" spans="1:28" s="1" customFormat="1" ht="24" customHeight="1" x14ac:dyDescent="0.2">
      <c r="A32" s="2"/>
      <c r="B32" s="3"/>
      <c r="C32" s="2"/>
      <c r="D32" s="4"/>
      <c r="E32" s="4"/>
      <c r="F32" s="4"/>
      <c r="G32" s="2"/>
      <c r="H32" s="5"/>
      <c r="I32" s="5"/>
      <c r="J32" s="4"/>
      <c r="K32" s="4"/>
      <c r="L32" s="4"/>
      <c r="M32" s="2"/>
      <c r="N32" s="2"/>
      <c r="O32" s="4"/>
      <c r="P32" s="2"/>
      <c r="Q32" s="2"/>
      <c r="R32" s="2"/>
      <c r="S32" s="2"/>
      <c r="T32" s="2"/>
      <c r="U32" s="2"/>
      <c r="V32" s="2"/>
      <c r="W32" s="2"/>
      <c r="X32" s="6"/>
      <c r="Y32" s="2"/>
      <c r="Z32" s="6"/>
      <c r="AA32" s="6"/>
      <c r="AB32" s="6"/>
    </row>
    <row r="33" spans="1:28" s="1" customFormat="1" ht="24" customHeight="1" x14ac:dyDescent="0.2">
      <c r="A33" s="2"/>
      <c r="B33" s="3"/>
      <c r="C33" s="2"/>
      <c r="D33" s="4"/>
      <c r="E33" s="4"/>
      <c r="F33" s="4"/>
      <c r="G33" s="2"/>
      <c r="H33" s="5"/>
      <c r="I33" s="5"/>
      <c r="J33" s="4"/>
      <c r="K33" s="4"/>
      <c r="L33" s="4"/>
      <c r="M33" s="2"/>
      <c r="N33" s="2"/>
      <c r="O33" s="4"/>
      <c r="P33" s="2"/>
      <c r="Q33" s="2"/>
      <c r="R33" s="2"/>
      <c r="S33" s="2"/>
      <c r="T33" s="2"/>
      <c r="U33" s="2"/>
      <c r="V33" s="2"/>
      <c r="W33" s="2"/>
      <c r="X33" s="6"/>
      <c r="Y33" s="2"/>
      <c r="Z33" s="6"/>
      <c r="AA33" s="6"/>
      <c r="AB33" s="6"/>
    </row>
    <row r="34" spans="1:28" s="1" customFormat="1" ht="24" customHeight="1" x14ac:dyDescent="0.2">
      <c r="A34" s="2"/>
      <c r="B34" s="3"/>
      <c r="C34" s="2"/>
      <c r="D34" s="4"/>
      <c r="E34" s="4"/>
      <c r="F34" s="4"/>
      <c r="G34" s="2"/>
      <c r="H34" s="5"/>
      <c r="I34" s="5"/>
      <c r="J34" s="4"/>
      <c r="K34" s="4"/>
      <c r="L34" s="4"/>
      <c r="M34" s="2"/>
      <c r="N34" s="2"/>
      <c r="O34" s="4"/>
      <c r="P34" s="2"/>
      <c r="Q34" s="2"/>
      <c r="R34" s="2"/>
      <c r="S34" s="2"/>
      <c r="T34" s="2"/>
      <c r="U34" s="2"/>
      <c r="V34" s="2"/>
      <c r="W34" s="2"/>
      <c r="X34" s="6"/>
      <c r="Y34" s="2"/>
      <c r="Z34" s="6"/>
      <c r="AA34" s="6"/>
      <c r="AB34" s="6"/>
    </row>
    <row r="35" spans="1:28" s="1" customFormat="1" ht="24" customHeight="1" x14ac:dyDescent="0.2">
      <c r="A35" s="2"/>
      <c r="B35" s="3"/>
      <c r="C35" s="2"/>
      <c r="D35" s="4"/>
      <c r="E35" s="4"/>
      <c r="F35" s="4"/>
      <c r="G35" s="2"/>
      <c r="H35" s="5"/>
      <c r="I35" s="5"/>
      <c r="J35" s="4"/>
      <c r="K35" s="4"/>
      <c r="L35" s="4"/>
      <c r="M35" s="2"/>
      <c r="N35" s="2"/>
      <c r="O35" s="4"/>
      <c r="P35" s="2"/>
      <c r="Q35" s="2"/>
      <c r="R35" s="2"/>
      <c r="S35" s="2"/>
      <c r="T35" s="2"/>
      <c r="U35" s="2"/>
      <c r="V35" s="2"/>
      <c r="W35" s="2"/>
      <c r="X35" s="6"/>
      <c r="Y35" s="2"/>
      <c r="Z35" s="6"/>
      <c r="AA35" s="6"/>
      <c r="AB35" s="6"/>
    </row>
    <row r="36" spans="1:28" s="1" customFormat="1" ht="24" customHeight="1" x14ac:dyDescent="0.2">
      <c r="A36" s="2"/>
      <c r="B36" s="3"/>
      <c r="C36" s="2"/>
      <c r="D36" s="4"/>
      <c r="E36" s="4"/>
      <c r="F36" s="4"/>
      <c r="G36" s="2"/>
      <c r="H36" s="5"/>
      <c r="I36" s="5"/>
      <c r="J36" s="4"/>
      <c r="K36" s="4"/>
      <c r="L36" s="4"/>
      <c r="M36" s="2"/>
      <c r="N36" s="2"/>
      <c r="O36" s="4"/>
      <c r="P36" s="2"/>
      <c r="Q36" s="2"/>
      <c r="R36" s="2"/>
      <c r="S36" s="2"/>
      <c r="T36" s="2"/>
      <c r="U36" s="2"/>
      <c r="V36" s="2"/>
      <c r="W36" s="2"/>
      <c r="X36" s="6"/>
      <c r="Y36" s="2"/>
      <c r="Z36" s="6"/>
      <c r="AA36" s="6"/>
      <c r="AB36" s="6"/>
    </row>
    <row r="37" spans="1:28" s="1" customFormat="1" ht="24" customHeight="1" x14ac:dyDescent="0.2">
      <c r="A37" s="2"/>
      <c r="B37" s="3"/>
      <c r="C37" s="2"/>
      <c r="D37" s="4"/>
      <c r="E37" s="4"/>
      <c r="F37" s="4"/>
      <c r="G37" s="2"/>
      <c r="H37" s="5"/>
      <c r="I37" s="5"/>
      <c r="J37" s="4"/>
      <c r="K37" s="4"/>
      <c r="L37" s="4"/>
      <c r="M37" s="2"/>
      <c r="N37" s="2"/>
      <c r="O37" s="4"/>
      <c r="P37" s="2"/>
      <c r="Q37" s="2"/>
      <c r="R37" s="2"/>
      <c r="S37" s="2"/>
      <c r="T37" s="2"/>
      <c r="U37" s="2"/>
      <c r="V37" s="2"/>
      <c r="W37" s="2"/>
      <c r="X37" s="6"/>
      <c r="Y37" s="2"/>
      <c r="Z37" s="6"/>
      <c r="AA37" s="6"/>
      <c r="AB37" s="6"/>
    </row>
    <row r="38" spans="1:28" s="1" customFormat="1" ht="24" customHeight="1" x14ac:dyDescent="0.2">
      <c r="A38" s="2"/>
      <c r="B38" s="3"/>
      <c r="C38" s="2"/>
      <c r="D38" s="4"/>
      <c r="E38" s="4"/>
      <c r="F38" s="4"/>
      <c r="G38" s="2"/>
      <c r="H38" s="5"/>
      <c r="I38" s="5"/>
      <c r="J38" s="4"/>
      <c r="K38" s="4"/>
      <c r="L38" s="4"/>
      <c r="M38" s="2"/>
      <c r="N38" s="2"/>
      <c r="O38" s="4"/>
      <c r="P38" s="2"/>
      <c r="Q38" s="2"/>
      <c r="R38" s="2"/>
      <c r="S38" s="2"/>
      <c r="T38" s="2"/>
      <c r="U38" s="2"/>
      <c r="V38" s="2"/>
      <c r="W38" s="2"/>
      <c r="X38" s="6"/>
      <c r="Y38" s="2"/>
      <c r="Z38" s="6"/>
      <c r="AA38" s="6"/>
      <c r="AB38" s="6"/>
    </row>
    <row r="39" spans="1:28" ht="15" customHeight="1" x14ac:dyDescent="0.2">
      <c r="P39" t="str">
        <f t="shared" ref="P39:P47" si="2">IF(AND(ISNUMBER(N26),ISNUMBER(O26),O26&lt;&gt;0),N26/(O26/25),"")</f>
        <v/>
      </c>
    </row>
    <row r="40" spans="1:28" ht="15" customHeight="1" x14ac:dyDescent="0.2">
      <c r="P40" t="str">
        <f t="shared" si="2"/>
        <v/>
      </c>
    </row>
    <row r="41" spans="1:28" ht="15" customHeight="1" x14ac:dyDescent="0.2">
      <c r="P41" t="str">
        <f t="shared" si="2"/>
        <v/>
      </c>
    </row>
    <row r="42" spans="1:28" ht="15" customHeight="1" x14ac:dyDescent="0.2">
      <c r="P42" t="str">
        <f t="shared" si="2"/>
        <v/>
      </c>
    </row>
    <row r="43" spans="1:28" ht="15" customHeight="1" x14ac:dyDescent="0.2">
      <c r="P43" t="str">
        <f t="shared" si="2"/>
        <v/>
      </c>
    </row>
    <row r="44" spans="1:28" ht="15" customHeight="1" x14ac:dyDescent="0.2">
      <c r="P44" t="str">
        <f t="shared" si="2"/>
        <v/>
      </c>
    </row>
    <row r="45" spans="1:28" ht="15" customHeight="1" x14ac:dyDescent="0.2">
      <c r="P45" t="str">
        <f t="shared" si="2"/>
        <v/>
      </c>
    </row>
    <row r="46" spans="1:28" ht="15" customHeight="1" x14ac:dyDescent="0.2">
      <c r="P46" t="str">
        <f t="shared" si="2"/>
        <v/>
      </c>
    </row>
    <row r="47" spans="1:28" ht="15" customHeight="1" x14ac:dyDescent="0.2">
      <c r="P47" t="str">
        <f t="shared" si="2"/>
        <v/>
      </c>
    </row>
    <row r="49" spans="1:28" ht="16" customHeight="1" x14ac:dyDescent="0.2">
      <c r="A49" s="31" t="s">
        <v>266</v>
      </c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</row>
    <row r="50" spans="1:28" ht="16" customHeight="1" x14ac:dyDescent="0.2">
      <c r="A50" s="79" t="s">
        <v>267</v>
      </c>
      <c r="B50" s="33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8"/>
      <c r="Z50" s="19"/>
      <c r="AA50" s="34"/>
      <c r="AB50" s="20"/>
    </row>
    <row r="51" spans="1:28" ht="16" customHeight="1" x14ac:dyDescent="0.2">
      <c r="A51" s="81" t="s">
        <v>268</v>
      </c>
      <c r="B51" s="35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6"/>
      <c r="Z51" s="27"/>
      <c r="AA51" s="36"/>
      <c r="AB51" s="29"/>
    </row>
  </sheetData>
  <autoFilter ref="A3:AB25" xr:uid="{00000000-0009-0000-0000-000000000000}">
    <filterColumn colId="0">
      <filters>
        <filter val="SC_0_L1"/>
        <filter val="SC_0_L2"/>
        <filter val="SC_45"/>
        <filter val="SC_90_L1"/>
        <filter val="SC_90_L2"/>
      </filters>
    </filterColumn>
  </autoFilter>
  <mergeCells count="7">
    <mergeCell ref="A1:AB1"/>
    <mergeCell ref="H2:M2"/>
    <mergeCell ref="N2:S2"/>
    <mergeCell ref="A2:B2"/>
    <mergeCell ref="Y2:AA2"/>
    <mergeCell ref="C2:G2"/>
    <mergeCell ref="T2:X2"/>
  </mergeCells>
  <dataValidations count="6">
    <dataValidation type="list" allowBlank="1" sqref="H4:H34" xr:uid="{00000000-0002-0000-0000-000000000000}">
      <formula1>"Single crease,Parallel accordion,Miura-ori,Waterbomb base,Kresling tube,Kirigami-parallel,Kirigami-Miura"</formula1>
      <formula2>0</formula2>
    </dataValidation>
    <dataValidation type="list" allowBlank="1" sqref="G4:G34" xr:uid="{00000000-0002-0000-0000-000001000000}">
      <formula1>"Yes,No"</formula1>
      <formula2>0</formula2>
    </dataValidation>
    <dataValidation type="list" allowBlank="1" sqref="AA4:AA34" xr:uid="{00000000-0002-0000-0000-000002000000}">
      <formula1>"Y,N,--"</formula1>
      <formula2>0</formula2>
    </dataValidation>
    <dataValidation type="list" allowBlank="1" sqref="I4:I63" xr:uid="{00000000-0002-0000-0000-000003000000}">
      <formula1>"0deg (parallel),45deg (diagonal),90deg (perpendicular),0deg (horiz. on panel),45deg (diagonal panel),90deg (vert. on panel)"</formula1>
      <formula2>0</formula2>
    </dataValidation>
    <dataValidation type="list" allowBlank="1" showInputMessage="1" showErrorMessage="1" sqref="K9:K24" xr:uid="{00000000-0002-0000-0000-000004000000}">
      <formula1>"Crease,Valley"</formula1>
      <formula2>0</formula2>
    </dataValidation>
    <dataValidation type="list" allowBlank="1" showInputMessage="1" showErrorMessage="1" sqref="K4:K8" xr:uid="{00000000-0002-0000-0000-000005000000}">
      <formula1>"Crease,Valley,Face"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F6E56"/>
  </sheetPr>
  <dimension ref="A1:T162"/>
  <sheetViews>
    <sheetView zoomScale="75" zoomScaleNormal="107" workbookViewId="0">
      <pane xSplit="1" ySplit="4" topLeftCell="B5" activePane="bottomRight" state="frozen"/>
      <selection pane="topRight"/>
      <selection pane="bottomLeft"/>
      <selection pane="bottomRight" activeCell="Y27" sqref="Y27"/>
    </sheetView>
  </sheetViews>
  <sheetFormatPr baseColWidth="10" defaultColWidth="8.6640625" defaultRowHeight="15" x14ac:dyDescent="0.2"/>
  <cols>
    <col min="1" max="1" width="22" customWidth="1"/>
    <col min="2" max="11" width="9" customWidth="1"/>
    <col min="12" max="12" width="22" customWidth="1"/>
    <col min="13" max="14" width="7" customWidth="1"/>
    <col min="15" max="16" width="10" customWidth="1"/>
    <col min="17" max="17" width="8" customWidth="1"/>
    <col min="18" max="18" width="13" customWidth="1"/>
    <col min="19" max="19" width="18" customWidth="1"/>
    <col min="20" max="20" width="8" customWidth="1"/>
  </cols>
  <sheetData>
    <row r="1" spans="1:20" ht="36" customHeight="1" x14ac:dyDescent="0.2">
      <c r="A1" s="165" t="s">
        <v>269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</row>
    <row r="2" spans="1:20" ht="18" customHeight="1" x14ac:dyDescent="0.2">
      <c r="A2" s="168" t="s">
        <v>270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</row>
    <row r="3" spans="1:20" ht="15" customHeight="1" x14ac:dyDescent="0.2">
      <c r="A3" s="167" t="s">
        <v>271</v>
      </c>
      <c r="B3" s="166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6"/>
    </row>
    <row r="4" spans="1:20" ht="30" customHeight="1" x14ac:dyDescent="0.2">
      <c r="A4" s="78"/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</row>
    <row r="5" spans="1:20" ht="15" customHeight="1" x14ac:dyDescent="0.2">
      <c r="A5" s="37" t="s">
        <v>272</v>
      </c>
      <c r="B5" s="35" t="s">
        <v>273</v>
      </c>
      <c r="C5" s="35" t="s">
        <v>274</v>
      </c>
      <c r="D5" s="35" t="s">
        <v>275</v>
      </c>
      <c r="E5" s="35" t="s">
        <v>276</v>
      </c>
      <c r="F5" s="35" t="s">
        <v>277</v>
      </c>
      <c r="G5" s="35" t="s">
        <v>278</v>
      </c>
      <c r="H5" s="35" t="s">
        <v>279</v>
      </c>
      <c r="I5" s="35" t="s">
        <v>280</v>
      </c>
      <c r="J5" s="35" t="s">
        <v>281</v>
      </c>
      <c r="K5" s="35" t="s">
        <v>282</v>
      </c>
      <c r="L5" s="38" t="s">
        <v>283</v>
      </c>
      <c r="M5" s="82" t="s">
        <v>284</v>
      </c>
      <c r="N5" s="82" t="s">
        <v>285</v>
      </c>
      <c r="O5" s="17" t="s">
        <v>286</v>
      </c>
      <c r="P5" s="17" t="s">
        <v>287</v>
      </c>
      <c r="Q5" s="17" t="s">
        <v>288</v>
      </c>
      <c r="R5" s="17" t="s">
        <v>289</v>
      </c>
      <c r="S5" s="83" t="s">
        <v>290</v>
      </c>
      <c r="T5" s="25" t="s">
        <v>291</v>
      </c>
    </row>
    <row r="6" spans="1:20" ht="22" customHeight="1" x14ac:dyDescent="0.2">
      <c r="A6" s="163" t="s">
        <v>292</v>
      </c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  <c r="M6" s="164"/>
      <c r="N6" s="164"/>
      <c r="O6" s="164"/>
      <c r="P6" s="164"/>
      <c r="Q6" s="164"/>
      <c r="R6" s="164"/>
      <c r="S6" s="164"/>
      <c r="T6" s="164"/>
    </row>
    <row r="7" spans="1:20" ht="15" customHeight="1" x14ac:dyDescent="0.2">
      <c r="A7" s="37" t="s">
        <v>293</v>
      </c>
      <c r="B7" s="39">
        <v>41.3</v>
      </c>
      <c r="C7" s="39">
        <v>36.799999999999997</v>
      </c>
      <c r="D7" s="39">
        <v>36</v>
      </c>
      <c r="E7" s="39">
        <v>32.799999999999997</v>
      </c>
      <c r="F7" s="39">
        <v>36.6</v>
      </c>
      <c r="G7" s="39">
        <v>37.200000000000003</v>
      </c>
      <c r="H7" s="39">
        <v>40.200000000000003</v>
      </c>
      <c r="I7" s="39">
        <v>32.700000000000003</v>
      </c>
      <c r="J7" s="39">
        <v>37.299999999999997</v>
      </c>
      <c r="K7" s="39">
        <v>35.6</v>
      </c>
      <c r="L7" s="82" t="s">
        <v>294</v>
      </c>
      <c r="M7" s="82">
        <v>10</v>
      </c>
      <c r="N7" s="82">
        <v>10</v>
      </c>
      <c r="O7" s="40">
        <f>AVERAGE(B7,C7,D7,E7,F7,G7,H7,I7,J7,K7)</f>
        <v>36.65</v>
      </c>
      <c r="P7" s="40">
        <f>STDEV(B7,C7,D7,E7,F7,G7,H7,I7,J7,K7)</f>
        <v>2.7269233782985376</v>
      </c>
      <c r="Q7" s="40">
        <f>P7/SQRT(N7)</f>
        <v>0.8623288880184351</v>
      </c>
      <c r="R7" s="40">
        <f>TINV(0.05,N7-1)*Q7</f>
        <v>1.9507234707187144</v>
      </c>
      <c r="S7" s="83" t="str">
        <f>ROUND(O7,3)&amp;" ± "&amp;ROUND(R7,3)&amp;" Ω"</f>
        <v>36,65 ± 1,951 Ω</v>
      </c>
      <c r="T7" s="41">
        <f>IF(O7&lt;&gt;0,P7/ABS(O7)*100,0)</f>
        <v>7.4404457798050148</v>
      </c>
    </row>
    <row r="8" spans="1:20" ht="15" customHeight="1" x14ac:dyDescent="0.2">
      <c r="A8" s="37" t="s">
        <v>295</v>
      </c>
      <c r="B8" s="39">
        <v>38.200000000000003</v>
      </c>
      <c r="C8" s="39">
        <v>65.599999999999994</v>
      </c>
      <c r="D8" s="39">
        <v>80.2</v>
      </c>
      <c r="E8" s="39">
        <v>67.8</v>
      </c>
      <c r="F8" s="39">
        <v>77.8</v>
      </c>
      <c r="G8" s="39">
        <v>83.4</v>
      </c>
      <c r="H8" s="39">
        <v>90.6</v>
      </c>
      <c r="I8" s="39">
        <v>73.599999999999994</v>
      </c>
      <c r="J8" s="39">
        <v>71.099999999999994</v>
      </c>
      <c r="K8" s="39">
        <v>98.3</v>
      </c>
      <c r="L8" s="82" t="s">
        <v>296</v>
      </c>
      <c r="M8" s="82">
        <v>10</v>
      </c>
      <c r="N8" s="82">
        <v>10</v>
      </c>
      <c r="O8" s="40">
        <f>AVERAGE(B8,C8,D8,E8,F8,G8,H8,I8,J8,K8)</f>
        <v>74.66</v>
      </c>
      <c r="P8" s="40">
        <f>STDEV(B8,C8,D8,E8,F8,G8,H8,I8,J8,K8)</f>
        <v>16.337224026403263</v>
      </c>
      <c r="Q8" s="40">
        <f>P8/SQRT(N8)</f>
        <v>5.1662838567861131</v>
      </c>
      <c r="R8" s="40">
        <f>TINV(0.05,N8-1)*Q8</f>
        <v>11.686946031677444</v>
      </c>
      <c r="S8" s="83" t="str">
        <f>ROUND(O8,3)&amp;" ± "&amp;ROUND(R8,3)&amp;" Ω"</f>
        <v>74,66 ± 11,687 Ω</v>
      </c>
      <c r="T8" s="41">
        <f>IF(O8&lt;&gt;0,P8/ABS(O8)*100,0)</f>
        <v>21.882164514336008</v>
      </c>
    </row>
    <row r="9" spans="1:20" ht="15" customHeight="1" x14ac:dyDescent="0.2">
      <c r="A9" s="37" t="s">
        <v>297</v>
      </c>
      <c r="B9" s="162" t="s">
        <v>298</v>
      </c>
      <c r="C9" s="160"/>
      <c r="D9" s="160"/>
      <c r="E9" s="160"/>
      <c r="F9" s="160"/>
      <c r="G9" s="160"/>
      <c r="H9" s="160"/>
      <c r="I9" s="160"/>
      <c r="J9" s="160"/>
      <c r="K9" s="160"/>
      <c r="L9" s="84" t="s">
        <v>78</v>
      </c>
      <c r="M9" s="84" t="s">
        <v>78</v>
      </c>
      <c r="N9" s="84" t="s">
        <v>78</v>
      </c>
      <c r="O9" s="84" t="s">
        <v>78</v>
      </c>
      <c r="P9" s="84" t="s">
        <v>78</v>
      </c>
      <c r="Q9" s="84" t="s">
        <v>78</v>
      </c>
      <c r="R9" s="84" t="s">
        <v>78</v>
      </c>
      <c r="S9" s="84" t="s">
        <v>78</v>
      </c>
      <c r="T9" s="84" t="s">
        <v>78</v>
      </c>
    </row>
    <row r="10" spans="1:20" ht="15" customHeight="1" x14ac:dyDescent="0.2">
      <c r="A10" s="37" t="s">
        <v>299</v>
      </c>
      <c r="B10" s="162" t="s">
        <v>300</v>
      </c>
      <c r="C10" s="160"/>
      <c r="D10" s="160"/>
      <c r="E10" s="160"/>
      <c r="F10" s="160"/>
      <c r="G10" s="160"/>
      <c r="H10" s="160"/>
      <c r="I10" s="160"/>
      <c r="J10" s="160"/>
      <c r="K10" s="160"/>
      <c r="L10" s="84" t="s">
        <v>78</v>
      </c>
      <c r="M10" s="84" t="s">
        <v>78</v>
      </c>
      <c r="N10" s="84" t="s">
        <v>78</v>
      </c>
      <c r="O10" s="84" t="s">
        <v>78</v>
      </c>
      <c r="P10" s="84" t="s">
        <v>78</v>
      </c>
      <c r="Q10" s="84" t="s">
        <v>78</v>
      </c>
      <c r="R10" s="84" t="s">
        <v>78</v>
      </c>
      <c r="S10" s="84" t="s">
        <v>78</v>
      </c>
      <c r="T10" s="84" t="s">
        <v>78</v>
      </c>
    </row>
    <row r="11" spans="1:20" ht="15" customHeight="1" x14ac:dyDescent="0.2">
      <c r="A11" s="37" t="s">
        <v>301</v>
      </c>
      <c r="B11" s="162" t="s">
        <v>300</v>
      </c>
      <c r="C11" s="160"/>
      <c r="D11" s="160"/>
      <c r="E11" s="160"/>
      <c r="F11" s="160"/>
      <c r="G11" s="160"/>
      <c r="H11" s="160"/>
      <c r="I11" s="160"/>
      <c r="J11" s="160"/>
      <c r="K11" s="160"/>
      <c r="L11" s="84" t="s">
        <v>78</v>
      </c>
      <c r="M11" s="84" t="s">
        <v>78</v>
      </c>
      <c r="N11" s="84" t="s">
        <v>78</v>
      </c>
      <c r="O11" s="84" t="s">
        <v>78</v>
      </c>
      <c r="P11" s="84" t="s">
        <v>78</v>
      </c>
      <c r="Q11" s="84" t="s">
        <v>78</v>
      </c>
      <c r="R11" s="84" t="s">
        <v>78</v>
      </c>
      <c r="S11" s="84" t="s">
        <v>78</v>
      </c>
      <c r="T11" s="84" t="s">
        <v>78</v>
      </c>
    </row>
    <row r="12" spans="1:20" s="148" customFormat="1" ht="15" customHeight="1" x14ac:dyDescent="0.2">
      <c r="A12" s="142"/>
      <c r="B12" s="143"/>
      <c r="C12" s="143"/>
      <c r="D12" s="143"/>
      <c r="E12" s="143"/>
      <c r="F12" s="143"/>
      <c r="G12" s="143"/>
      <c r="H12" s="143"/>
      <c r="I12" s="143"/>
      <c r="J12" s="143"/>
      <c r="K12" s="143"/>
      <c r="L12" s="144"/>
      <c r="M12" s="145"/>
      <c r="N12" s="145"/>
      <c r="O12" s="146"/>
      <c r="P12" s="146"/>
      <c r="Q12" s="146"/>
      <c r="R12" s="146"/>
      <c r="S12" s="147"/>
      <c r="T12" s="146"/>
    </row>
    <row r="13" spans="1:20" ht="22" customHeight="1" x14ac:dyDescent="0.2">
      <c r="A13" s="163" t="s">
        <v>302</v>
      </c>
      <c r="B13" s="164"/>
      <c r="C13" s="164"/>
      <c r="D13" s="164"/>
      <c r="E13" s="164"/>
      <c r="F13" s="164"/>
      <c r="G13" s="164"/>
      <c r="H13" s="164"/>
      <c r="I13" s="164"/>
      <c r="J13" s="164"/>
      <c r="K13" s="164"/>
      <c r="L13" s="164"/>
      <c r="M13" s="164"/>
      <c r="N13" s="164"/>
      <c r="O13" s="164"/>
      <c r="P13" s="164"/>
      <c r="Q13" s="164"/>
      <c r="R13" s="164"/>
      <c r="S13" s="164"/>
      <c r="T13" s="164"/>
    </row>
    <row r="14" spans="1:20" ht="15" customHeight="1" x14ac:dyDescent="0.2">
      <c r="A14" s="37" t="s">
        <v>293</v>
      </c>
      <c r="B14" s="39">
        <v>36.5</v>
      </c>
      <c r="C14" s="39">
        <v>26.1</v>
      </c>
      <c r="D14" s="39">
        <v>21.6</v>
      </c>
      <c r="E14" s="39">
        <v>33.700000000000003</v>
      </c>
      <c r="F14" s="39">
        <v>37.700000000000003</v>
      </c>
      <c r="G14" s="39">
        <v>25.6</v>
      </c>
      <c r="H14" s="39">
        <v>23.6</v>
      </c>
      <c r="I14" s="39">
        <v>22.8</v>
      </c>
      <c r="J14" s="39">
        <v>21.7</v>
      </c>
      <c r="K14" s="39">
        <v>21.2</v>
      </c>
      <c r="L14" s="82" t="s">
        <v>303</v>
      </c>
      <c r="M14" s="82">
        <v>10</v>
      </c>
      <c r="N14" s="82">
        <v>10</v>
      </c>
      <c r="O14" s="40">
        <f>AVERAGE(B14,C14,D14,E14,F14,G14,H14,I14,J14,K14)</f>
        <v>27.05</v>
      </c>
      <c r="P14" s="40">
        <f>STDEV(B14,C14,D14,E14,F14,G14,H14,I14,J14,K14)</f>
        <v>6.4331174402462228</v>
      </c>
      <c r="Q14" s="40">
        <f>P14/SQRT(N14)</f>
        <v>2.034330356653022</v>
      </c>
      <c r="R14" s="40">
        <f>TINV(0.05,N14-1)*Q14</f>
        <v>4.6019749878004612</v>
      </c>
      <c r="S14" s="83" t="str">
        <f>ROUND(O14,3)&amp;" ± "&amp;ROUND(R14,3)&amp;" Ω"</f>
        <v>27,05 ± 4,602 Ω</v>
      </c>
      <c r="T14" s="41">
        <f>IF(O14&lt;&gt;0,P14/ABS(O14)*100,0)</f>
        <v>23.78231955728733</v>
      </c>
    </row>
    <row r="15" spans="1:20" ht="15" customHeight="1" x14ac:dyDescent="0.2">
      <c r="A15" s="37" t="s">
        <v>295</v>
      </c>
      <c r="B15" s="39">
        <v>20.6</v>
      </c>
      <c r="C15" s="39">
        <v>19.399999999999999</v>
      </c>
      <c r="D15" s="39">
        <v>17.7</v>
      </c>
      <c r="E15" s="39">
        <v>19.5</v>
      </c>
      <c r="F15" s="39">
        <v>17.8</v>
      </c>
      <c r="G15" s="39">
        <v>14.9</v>
      </c>
      <c r="H15" s="39">
        <v>18.100000000000001</v>
      </c>
      <c r="I15" s="39">
        <v>17.7</v>
      </c>
      <c r="J15" s="39">
        <v>14.5</v>
      </c>
      <c r="K15" s="39">
        <v>13.7</v>
      </c>
      <c r="L15" s="82" t="s">
        <v>304</v>
      </c>
      <c r="M15" s="82">
        <v>10</v>
      </c>
      <c r="N15" s="82">
        <v>10</v>
      </c>
      <c r="O15" s="40">
        <f>AVERAGE(B15,C15,D15,E15,F15,G15,H15,I15,J15,K15)</f>
        <v>17.389999999999997</v>
      </c>
      <c r="P15" s="40">
        <f>STDEV(B15,C15,D15,E15,F15,G15,H15,I15,J15,K15)</f>
        <v>2.3052837858566142</v>
      </c>
      <c r="Q15" s="40">
        <f>P15/SQRT(N15)</f>
        <v>0.72899474163627564</v>
      </c>
      <c r="R15" s="40">
        <f>TINV(0.05,N15-1)*Q15</f>
        <v>1.649100676434728</v>
      </c>
      <c r="S15" s="83" t="str">
        <f>ROUND(O15,3)&amp;" ± "&amp;ROUND(R15,3)&amp;" Ω"</f>
        <v>17,39 ± 1,649 Ω</v>
      </c>
      <c r="T15" s="41">
        <f>IF(O15&lt;&gt;0,P15/ABS(O15)*100,0)</f>
        <v>13.256375996875299</v>
      </c>
    </row>
    <row r="16" spans="1:20" ht="15" customHeight="1" x14ac:dyDescent="0.2">
      <c r="A16" s="37" t="s">
        <v>297</v>
      </c>
      <c r="B16" s="39">
        <v>22.1</v>
      </c>
      <c r="C16" s="39">
        <v>22.3</v>
      </c>
      <c r="D16" s="39">
        <v>20.7</v>
      </c>
      <c r="E16" s="39">
        <v>19.600000000000001</v>
      </c>
      <c r="F16" s="39">
        <v>20</v>
      </c>
      <c r="G16" s="39">
        <v>18.2</v>
      </c>
      <c r="H16" s="39">
        <v>18.399999999999999</v>
      </c>
      <c r="I16" s="39">
        <v>19.8</v>
      </c>
      <c r="J16" s="39">
        <v>19.5</v>
      </c>
      <c r="K16" s="39">
        <v>19.5</v>
      </c>
      <c r="L16" s="82" t="s">
        <v>305</v>
      </c>
      <c r="M16" s="82">
        <v>10</v>
      </c>
      <c r="N16" s="82">
        <v>10</v>
      </c>
      <c r="O16" s="40">
        <f>AVERAGE(B16,C16,D16,E16,F16,G16,H16,I16,J16,K16)</f>
        <v>20.010000000000002</v>
      </c>
      <c r="P16" s="40">
        <f>STDEV(B16,C16,D16,E16,F16,G16,H16,I16,J16,K16)</f>
        <v>1.3617390841616226</v>
      </c>
      <c r="Q16" s="40">
        <f>P16/SQRT(N16)</f>
        <v>0.43061970848224473</v>
      </c>
      <c r="R16" s="40">
        <f>TINV(0.05,N16-1)*Q16</f>
        <v>0.97412945798518502</v>
      </c>
      <c r="S16" s="83" t="str">
        <f>ROUND(O16,3)&amp;" ± "&amp;ROUND(R16,3)&amp;" Ω"</f>
        <v>20,01 ± 0,974 Ω</v>
      </c>
      <c r="T16" s="41">
        <f>IF(O16&lt;&gt;0,P16/ABS(O16)*100,0)</f>
        <v>6.8052927744209013</v>
      </c>
    </row>
    <row r="17" spans="1:20" ht="15" customHeight="1" x14ac:dyDescent="0.2">
      <c r="A17" s="37" t="s">
        <v>299</v>
      </c>
      <c r="B17" s="39">
        <v>24.8</v>
      </c>
      <c r="C17" s="39">
        <v>24.1</v>
      </c>
      <c r="D17" s="39">
        <v>25.1</v>
      </c>
      <c r="E17" s="39">
        <v>24.4</v>
      </c>
      <c r="F17" s="39">
        <v>23.1</v>
      </c>
      <c r="G17" s="39">
        <v>24.1</v>
      </c>
      <c r="H17" s="39">
        <v>21.7</v>
      </c>
      <c r="I17" s="39">
        <v>23.3</v>
      </c>
      <c r="J17" s="39">
        <v>22.4</v>
      </c>
      <c r="K17" s="39">
        <v>21.2</v>
      </c>
      <c r="L17" s="82" t="s">
        <v>306</v>
      </c>
      <c r="M17" s="82">
        <v>10</v>
      </c>
      <c r="N17" s="82">
        <v>10</v>
      </c>
      <c r="O17" s="40">
        <f>AVERAGE(B17,C17,D17,E17,F17,G17,H17,I17,J17,K17)</f>
        <v>23.419999999999998</v>
      </c>
      <c r="P17" s="40">
        <f>STDEV(B17,C17,D17,E17,F17,G17,H17,I17,J17,K17)</f>
        <v>1.3189221188362705</v>
      </c>
      <c r="Q17" s="40">
        <f>P17/SQRT(N17)</f>
        <v>0.41707979518978827</v>
      </c>
      <c r="R17" s="40">
        <f>TINV(0.05,N17-1)*Q17</f>
        <v>0.94350004614698801</v>
      </c>
      <c r="S17" s="83" t="str">
        <f>ROUND(O17,3)&amp;" ± "&amp;ROUND(R17,3)&amp;" Ω"</f>
        <v>23,42 ± 0,944 Ω</v>
      </c>
      <c r="T17" s="41">
        <f>IF(O17&lt;&gt;0,P17/ABS(O17)*100,0)</f>
        <v>5.6316059728277992</v>
      </c>
    </row>
    <row r="18" spans="1:20" ht="15" customHeight="1" x14ac:dyDescent="0.2">
      <c r="A18" s="37" t="s">
        <v>301</v>
      </c>
      <c r="B18" s="39">
        <v>35.6</v>
      </c>
      <c r="C18" s="39">
        <v>31</v>
      </c>
      <c r="D18" s="39">
        <v>29.4</v>
      </c>
      <c r="E18" s="39">
        <v>29.5</v>
      </c>
      <c r="F18" s="39">
        <v>27.3</v>
      </c>
      <c r="G18" s="39">
        <v>44.6</v>
      </c>
      <c r="H18" s="39">
        <v>27.2</v>
      </c>
      <c r="I18" s="39">
        <v>25.5</v>
      </c>
      <c r="J18" s="39">
        <v>25.7</v>
      </c>
      <c r="K18" s="39">
        <v>24.7</v>
      </c>
      <c r="L18" s="84" t="s">
        <v>307</v>
      </c>
      <c r="M18" s="82">
        <v>10</v>
      </c>
      <c r="N18" s="82">
        <v>9</v>
      </c>
      <c r="O18" s="40">
        <f>AVERAGE(B18,C18,D18,E18,F18,H18,I18,J18,K18)</f>
        <v>28.43333333333333</v>
      </c>
      <c r="P18" s="40">
        <f>STDEV(B18,C18,D18,E18,F18,H18,I18,J18,K18)</f>
        <v>3.406611219379184</v>
      </c>
      <c r="Q18" s="40">
        <f>P18/SQRT(N18)</f>
        <v>1.1355370731263947</v>
      </c>
      <c r="R18" s="40">
        <f>TINV(0.05,N18-1)*Q18</f>
        <v>2.618553186307103</v>
      </c>
      <c r="S18" s="83" t="str">
        <f>ROUND(O18,3)&amp;" ± "&amp;ROUND(R18,3)&amp;" Ω"</f>
        <v>28,433 ± 2,619 Ω</v>
      </c>
      <c r="T18" s="41">
        <f>IF(O18&lt;&gt;0,P18/ABS(O18)*100,0)</f>
        <v>11.981047664874037</v>
      </c>
    </row>
    <row r="19" spans="1:20" s="148" customFormat="1" ht="15" customHeight="1" x14ac:dyDescent="0.2">
      <c r="A19" s="142"/>
      <c r="B19" s="143"/>
      <c r="C19" s="143"/>
      <c r="D19" s="143"/>
      <c r="E19" s="143"/>
      <c r="F19" s="143"/>
      <c r="G19" s="143"/>
      <c r="H19" s="143"/>
      <c r="I19" s="143"/>
      <c r="J19" s="143"/>
      <c r="K19" s="143"/>
      <c r="L19" s="144"/>
      <c r="M19" s="145"/>
      <c r="N19" s="145"/>
      <c r="O19" s="146"/>
      <c r="P19" s="146"/>
      <c r="Q19" s="146"/>
      <c r="R19" s="146"/>
      <c r="S19" s="147"/>
      <c r="T19" s="146"/>
    </row>
    <row r="20" spans="1:20" ht="22" customHeight="1" x14ac:dyDescent="0.2">
      <c r="A20" s="163" t="s">
        <v>308</v>
      </c>
      <c r="B20" s="164"/>
      <c r="C20" s="164"/>
      <c r="D20" s="164"/>
      <c r="E20" s="164"/>
      <c r="F20" s="164"/>
      <c r="G20" s="164"/>
      <c r="H20" s="164"/>
      <c r="I20" s="164"/>
      <c r="J20" s="164"/>
      <c r="K20" s="164"/>
      <c r="L20" s="164"/>
      <c r="M20" s="164"/>
      <c r="N20" s="164"/>
      <c r="O20" s="164"/>
      <c r="P20" s="164"/>
      <c r="Q20" s="164"/>
      <c r="R20" s="164"/>
      <c r="S20" s="164"/>
      <c r="T20" s="164"/>
    </row>
    <row r="21" spans="1:20" ht="15" customHeight="1" x14ac:dyDescent="0.2">
      <c r="A21" s="37" t="s">
        <v>293</v>
      </c>
      <c r="B21" s="39">
        <v>7</v>
      </c>
      <c r="C21" s="39">
        <v>6.8</v>
      </c>
      <c r="D21" s="39">
        <v>6.5</v>
      </c>
      <c r="E21" s="39">
        <v>6.5</v>
      </c>
      <c r="F21" s="39">
        <v>6.3</v>
      </c>
      <c r="G21" s="39">
        <v>6.2</v>
      </c>
      <c r="H21" s="39">
        <v>6.1</v>
      </c>
      <c r="I21" s="39">
        <v>6.2</v>
      </c>
      <c r="J21" s="39">
        <v>6.1</v>
      </c>
      <c r="K21" s="39">
        <v>6.1</v>
      </c>
      <c r="L21" s="82" t="s">
        <v>309</v>
      </c>
      <c r="M21" s="82">
        <v>10</v>
      </c>
      <c r="N21" s="82">
        <v>10</v>
      </c>
      <c r="O21" s="40">
        <f>AVERAGE(B21,C21,D21,E21,F21,G21,H21,I21,J21,K21)</f>
        <v>6.3800000000000008</v>
      </c>
      <c r="P21" s="40">
        <f>STDEV(B21,C21,D21,E21,F21,G21,H21,I21,J21,K21)</f>
        <v>0.31552425509864629</v>
      </c>
      <c r="Q21" s="40">
        <f>P21/SQRT(N21)</f>
        <v>9.9777530313971796E-2</v>
      </c>
      <c r="R21" s="40">
        <f>TINV(0.05,N21-1)*Q21</f>
        <v>0.22571245488606637</v>
      </c>
      <c r="S21" s="83" t="str">
        <f>ROUND(O21,3)&amp;" ± "&amp;ROUND(R21,3)&amp;" Ω"</f>
        <v>6,38 ± 0,226 Ω</v>
      </c>
      <c r="T21" s="41">
        <f>IF(O21&lt;&gt;0,P21/ABS(O21)*100,0)</f>
        <v>4.9455212397906934</v>
      </c>
    </row>
    <row r="22" spans="1:20" ht="15" customHeight="1" x14ac:dyDescent="0.2">
      <c r="A22" s="37" t="s">
        <v>295</v>
      </c>
      <c r="B22" s="39">
        <v>6.8</v>
      </c>
      <c r="C22" s="39">
        <v>6.6</v>
      </c>
      <c r="D22" s="39">
        <v>6.3</v>
      </c>
      <c r="E22" s="39">
        <v>7.3</v>
      </c>
      <c r="F22" s="39">
        <v>6.2</v>
      </c>
      <c r="G22" s="39">
        <v>6.1</v>
      </c>
      <c r="H22" s="39">
        <v>6.1</v>
      </c>
      <c r="I22" s="39">
        <v>5.9</v>
      </c>
      <c r="J22" s="39">
        <v>5.9</v>
      </c>
      <c r="K22" s="39">
        <v>5.8</v>
      </c>
      <c r="L22" s="82" t="s">
        <v>310</v>
      </c>
      <c r="M22" s="82">
        <v>10</v>
      </c>
      <c r="N22" s="82">
        <v>10</v>
      </c>
      <c r="O22" s="40">
        <f>AVERAGE(B22,C22,D22,E22,F22,G22,H22,I22,J22,K22)</f>
        <v>6.3</v>
      </c>
      <c r="P22" s="40">
        <f>STDEV(B22,C22,D22,E22,F22,G22,H22,I22,J22,K22)</f>
        <v>0.47140452079103157</v>
      </c>
      <c r="Q22" s="40">
        <f>P22/SQRT(N22)</f>
        <v>0.14907119849998593</v>
      </c>
      <c r="R22" s="40">
        <f>TINV(0.05,N22-1)*Q22</f>
        <v>0.33722247945365624</v>
      </c>
      <c r="S22" s="83" t="str">
        <f>ROUND(O22,3)&amp;" ± "&amp;ROUND(R22,3)&amp;" Ω"</f>
        <v>6,3 ± 0,337 Ω</v>
      </c>
      <c r="T22" s="41">
        <f>IF(O22&lt;&gt;0,P22/ABS(O22)*100,0)</f>
        <v>7.482611441127486</v>
      </c>
    </row>
    <row r="23" spans="1:20" ht="15" customHeight="1" x14ac:dyDescent="0.2">
      <c r="A23" s="37" t="s">
        <v>297</v>
      </c>
      <c r="B23" s="39">
        <v>6.6</v>
      </c>
      <c r="C23" s="39">
        <v>6.4</v>
      </c>
      <c r="D23" s="39">
        <v>6.3</v>
      </c>
      <c r="E23" s="39">
        <v>6.2</v>
      </c>
      <c r="F23" s="39">
        <v>6.4</v>
      </c>
      <c r="G23" s="39">
        <v>6.3</v>
      </c>
      <c r="H23" s="39">
        <v>6.3</v>
      </c>
      <c r="I23" s="39">
        <v>6.2</v>
      </c>
      <c r="J23" s="39">
        <v>6.2</v>
      </c>
      <c r="K23" s="39">
        <v>6.2</v>
      </c>
      <c r="L23" s="82" t="s">
        <v>311</v>
      </c>
      <c r="M23" s="82">
        <v>10</v>
      </c>
      <c r="N23" s="82">
        <v>10</v>
      </c>
      <c r="O23" s="40">
        <f>AVERAGE(B23,C23,D23,E23,F23,G23,H23,I23,J23,K23)</f>
        <v>6.3100000000000005</v>
      </c>
      <c r="P23" s="40">
        <f>STDEV(B23,C23,D23,E23,F23,G23,H23,I23,J23,K23)</f>
        <v>0.12866839377079178</v>
      </c>
      <c r="Q23" s="40">
        <f>P23/SQRT(N23)</f>
        <v>4.0688518719112311E-2</v>
      </c>
      <c r="R23" s="40">
        <f>TINV(0.05,N23-1)*Q23</f>
        <v>9.2043824064088772E-2</v>
      </c>
      <c r="S23" s="83" t="str">
        <f>ROUND(O23,3)&amp;" ± "&amp;ROUND(R23,3)&amp;" Ω"</f>
        <v>6,31 ± 0,092 Ω</v>
      </c>
      <c r="T23" s="41">
        <f>IF(O23&lt;&gt;0,P23/ABS(O23)*100,0)</f>
        <v>2.0391187602344178</v>
      </c>
    </row>
    <row r="24" spans="1:20" ht="15" customHeight="1" x14ac:dyDescent="0.2">
      <c r="A24" s="37" t="s">
        <v>299</v>
      </c>
      <c r="B24" s="39">
        <v>7.2</v>
      </c>
      <c r="C24" s="39">
        <v>6.9</v>
      </c>
      <c r="D24" s="39">
        <v>7</v>
      </c>
      <c r="E24" s="39">
        <v>6.7</v>
      </c>
      <c r="F24" s="39">
        <v>6.6</v>
      </c>
      <c r="G24" s="39">
        <v>6.5</v>
      </c>
      <c r="H24" s="39">
        <v>6.4</v>
      </c>
      <c r="I24" s="39">
        <v>6.3</v>
      </c>
      <c r="J24" s="39">
        <v>6.1</v>
      </c>
      <c r="K24" s="39">
        <v>6.6</v>
      </c>
      <c r="L24" s="82" t="s">
        <v>312</v>
      </c>
      <c r="M24" s="82">
        <v>10</v>
      </c>
      <c r="N24" s="82">
        <v>10</v>
      </c>
      <c r="O24" s="40">
        <f>AVERAGE(B24,C24,D24,E24,F24,G24,H24,I24,J24,K24)</f>
        <v>6.63</v>
      </c>
      <c r="P24" s="40">
        <f>STDEV(B24,C24,D24,E24,F24,G24,H24,I24,J24,K24)</f>
        <v>0.3334999583541538</v>
      </c>
      <c r="Q24" s="40">
        <f>P24/SQRT(N24)</f>
        <v>0.10546194679704254</v>
      </c>
      <c r="R24" s="40">
        <f>TINV(0.05,N24-1)*Q24</f>
        <v>0.23857149834957303</v>
      </c>
      <c r="S24" s="83" t="str">
        <f>ROUND(O24,3)&amp;" ± "&amp;ROUND(R24,3)&amp;" Ω"</f>
        <v>6,63 ± 0,239 Ω</v>
      </c>
      <c r="T24" s="41">
        <f>IF(O24&lt;&gt;0,P24/ABS(O24)*100,0)</f>
        <v>5.0301652843763769</v>
      </c>
    </row>
    <row r="25" spans="1:20" ht="15" customHeight="1" x14ac:dyDescent="0.2">
      <c r="A25" s="37" t="s">
        <v>301</v>
      </c>
      <c r="B25" s="39">
        <v>7.1</v>
      </c>
      <c r="C25" s="39">
        <v>6.8</v>
      </c>
      <c r="D25" s="39">
        <v>6.8</v>
      </c>
      <c r="E25" s="39">
        <v>6.7</v>
      </c>
      <c r="F25" s="39">
        <v>7</v>
      </c>
      <c r="G25" s="39">
        <v>6.8</v>
      </c>
      <c r="H25" s="39">
        <v>6.6</v>
      </c>
      <c r="I25" s="39">
        <v>6.2</v>
      </c>
      <c r="J25" s="39">
        <v>6.4</v>
      </c>
      <c r="K25" s="39">
        <v>6.6</v>
      </c>
      <c r="L25" s="82" t="s">
        <v>313</v>
      </c>
      <c r="M25" s="82">
        <v>10</v>
      </c>
      <c r="N25" s="82">
        <v>10</v>
      </c>
      <c r="O25" s="40">
        <f>AVERAGE(B25,C25,D25,E25,F25,G25,H25,I25,J25,K25)</f>
        <v>6.7</v>
      </c>
      <c r="P25" s="40">
        <f>STDEV(B25,C25,D25,E25,F25,G25,H25,I25,J25,K25)</f>
        <v>0.26666666666666655</v>
      </c>
      <c r="Q25" s="40">
        <f>P25/SQRT(N25)</f>
        <v>8.4327404271156745E-2</v>
      </c>
      <c r="R25" s="40">
        <f>TINV(0.05,N25-1)*Q25</f>
        <v>0.19076184159217721</v>
      </c>
      <c r="S25" s="83" t="str">
        <f>ROUND(O25,3)&amp;" ± "&amp;ROUND(R25,3)&amp;" Ω"</f>
        <v>6,7 ± 0,191 Ω</v>
      </c>
      <c r="T25" s="41">
        <f>IF(O25&lt;&gt;0,P25/ABS(O25)*100,0)</f>
        <v>3.9800995024875601</v>
      </c>
    </row>
    <row r="26" spans="1:20" s="148" customFormat="1" ht="15" customHeight="1" x14ac:dyDescent="0.2">
      <c r="A26" s="142"/>
      <c r="B26" s="143"/>
      <c r="C26" s="143"/>
      <c r="D26" s="143"/>
      <c r="E26" s="143"/>
      <c r="F26" s="143"/>
      <c r="G26" s="143"/>
      <c r="H26" s="143"/>
      <c r="I26" s="143"/>
      <c r="J26" s="143"/>
      <c r="K26" s="143"/>
      <c r="L26" s="144"/>
      <c r="M26" s="145"/>
      <c r="N26" s="145"/>
      <c r="O26" s="146"/>
      <c r="P26" s="146"/>
      <c r="Q26" s="146"/>
      <c r="R26" s="146"/>
      <c r="S26" s="147"/>
      <c r="T26" s="146"/>
    </row>
    <row r="27" spans="1:20" ht="22" customHeight="1" x14ac:dyDescent="0.2">
      <c r="A27" s="163" t="s">
        <v>314</v>
      </c>
      <c r="B27" s="164"/>
      <c r="C27" s="164"/>
      <c r="D27" s="164"/>
      <c r="E27" s="164"/>
      <c r="F27" s="164"/>
      <c r="G27" s="164"/>
      <c r="H27" s="164"/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</row>
    <row r="28" spans="1:20" ht="15" customHeight="1" x14ac:dyDescent="0.2">
      <c r="A28" s="37" t="s">
        <v>293</v>
      </c>
      <c r="B28" s="39">
        <v>2.8</v>
      </c>
      <c r="C28" s="39">
        <v>2.8</v>
      </c>
      <c r="D28" s="39">
        <v>2.7</v>
      </c>
      <c r="E28" s="39">
        <v>2.7</v>
      </c>
      <c r="F28" s="39">
        <v>2.7</v>
      </c>
      <c r="G28" s="39">
        <v>2.7</v>
      </c>
      <c r="H28" s="39">
        <v>2.7</v>
      </c>
      <c r="I28" s="39">
        <v>2.7</v>
      </c>
      <c r="J28" s="39">
        <v>2.7</v>
      </c>
      <c r="K28" s="39">
        <v>2.6</v>
      </c>
      <c r="L28" s="82" t="s">
        <v>315</v>
      </c>
      <c r="M28" s="82">
        <v>10</v>
      </c>
      <c r="N28" s="82">
        <v>10</v>
      </c>
      <c r="O28" s="40">
        <f>AVERAGE(B28,C28,D28,E28,F28,G28,H28,I28,J28,K28)</f>
        <v>2.71</v>
      </c>
      <c r="P28" s="40">
        <f>STDEV(B28,C28,D28,E28,F28,G28,H28,I28,J28,K28)</f>
        <v>5.676462121975457E-2</v>
      </c>
      <c r="Q28" s="40">
        <f>P28/SQRT(N28)</f>
        <v>1.795054935711498E-2</v>
      </c>
      <c r="R28" s="40">
        <f>TINV(0.05,N28-1)*Q28</f>
        <v>4.0606963804360373E-2</v>
      </c>
      <c r="S28" s="83" t="str">
        <f>ROUND(O28,3)&amp;" ± "&amp;ROUND(R28,3)&amp;" Ω"</f>
        <v>2,71 ± 0,041 Ω</v>
      </c>
      <c r="T28" s="41">
        <f>IF(O28&lt;&gt;0,P28/ABS(O28)*100,0)</f>
        <v>2.0946354693636375</v>
      </c>
    </row>
    <row r="29" spans="1:20" ht="15" customHeight="1" x14ac:dyDescent="0.2">
      <c r="A29" s="37" t="s">
        <v>295</v>
      </c>
      <c r="B29" s="39">
        <v>4.0999999999999996</v>
      </c>
      <c r="C29" s="39">
        <v>3.9</v>
      </c>
      <c r="D29" s="39">
        <v>3.8</v>
      </c>
      <c r="E29" s="39">
        <v>3.8</v>
      </c>
      <c r="F29" s="39">
        <v>3.7</v>
      </c>
      <c r="G29" s="39">
        <v>3.7</v>
      </c>
      <c r="H29" s="39">
        <v>3.6</v>
      </c>
      <c r="I29" s="39">
        <v>3.6</v>
      </c>
      <c r="J29" s="39">
        <v>3.5</v>
      </c>
      <c r="K29" s="39">
        <v>3.5</v>
      </c>
      <c r="L29" s="82" t="s">
        <v>316</v>
      </c>
      <c r="M29" s="82">
        <v>10</v>
      </c>
      <c r="N29" s="82">
        <v>10</v>
      </c>
      <c r="O29" s="40">
        <f>AVERAGE(B29,C29,D29,E29,F29,G29,H29,I29,J29,K29)</f>
        <v>3.72</v>
      </c>
      <c r="P29" s="40">
        <f>STDEV(B29,C29,D29,E29,F29,G29,H29,I29,J29,K29)</f>
        <v>0.1873795909674025</v>
      </c>
      <c r="Q29" s="40">
        <f>P29/SQRT(N29)</f>
        <v>5.9254629448770552E-2</v>
      </c>
      <c r="R29" s="40">
        <f>TINV(0.05,N29-1)*Q29</f>
        <v>0.13404328443648977</v>
      </c>
      <c r="S29" s="83" t="str">
        <f>ROUND(O29,3)&amp;" ± "&amp;ROUND(R29,3)&amp;" Ω"</f>
        <v>3,72 ± 0,134 Ω</v>
      </c>
      <c r="T29" s="41">
        <f>IF(O29&lt;&gt;0,P29/ABS(O29)*100,0)</f>
        <v>5.0370857786936156</v>
      </c>
    </row>
    <row r="30" spans="1:20" ht="15" customHeight="1" x14ac:dyDescent="0.2">
      <c r="A30" s="37" t="s">
        <v>297</v>
      </c>
      <c r="B30" s="39">
        <v>4.4000000000000004</v>
      </c>
      <c r="C30" s="39">
        <v>4.0999999999999996</v>
      </c>
      <c r="D30" s="39">
        <v>4</v>
      </c>
      <c r="E30" s="39">
        <v>3.9</v>
      </c>
      <c r="F30" s="39">
        <v>3.8</v>
      </c>
      <c r="G30" s="39">
        <v>3.7</v>
      </c>
      <c r="H30" s="39">
        <v>3.6</v>
      </c>
      <c r="I30" s="39">
        <v>3.7</v>
      </c>
      <c r="J30" s="39">
        <v>3.6</v>
      </c>
      <c r="K30" s="39">
        <v>3.6</v>
      </c>
      <c r="L30" s="82" t="s">
        <v>317</v>
      </c>
      <c r="M30" s="82">
        <v>10</v>
      </c>
      <c r="N30" s="82">
        <v>10</v>
      </c>
      <c r="O30" s="40">
        <f>AVERAGE(B30,C30,D30,E30,F30,G30,H30,I30,J30,K30)</f>
        <v>3.84</v>
      </c>
      <c r="P30" s="40">
        <f>STDEV(B30,C30,D30,E30,F30,G30,H30,I30,J30,K30)</f>
        <v>0.26331223544175331</v>
      </c>
      <c r="Q30" s="40">
        <f>P30/SQRT(N30)</f>
        <v>8.3266639978645293E-2</v>
      </c>
      <c r="R30" s="40">
        <f>TINV(0.05,N30-1)*Q30</f>
        <v>0.18836222604983185</v>
      </c>
      <c r="S30" s="83" t="str">
        <f>ROUND(O30,3)&amp;" ± "&amp;ROUND(R30,3)&amp;" Ω"</f>
        <v>3,84 ± 0,188 Ω</v>
      </c>
      <c r="T30" s="41">
        <f>IF(O30&lt;&gt;0,P30/ABS(O30)*100,0)</f>
        <v>6.8570894646289933</v>
      </c>
    </row>
    <row r="31" spans="1:20" ht="15" customHeight="1" x14ac:dyDescent="0.2">
      <c r="A31" s="37" t="s">
        <v>299</v>
      </c>
      <c r="B31" s="39">
        <v>4.2</v>
      </c>
      <c r="C31" s="39">
        <v>4.2</v>
      </c>
      <c r="D31" s="39">
        <v>4.2</v>
      </c>
      <c r="E31" s="39">
        <v>4.2</v>
      </c>
      <c r="F31" s="39">
        <v>4.0999999999999996</v>
      </c>
      <c r="G31" s="39">
        <v>4</v>
      </c>
      <c r="H31" s="39">
        <v>4</v>
      </c>
      <c r="I31" s="39">
        <v>4</v>
      </c>
      <c r="J31" s="39">
        <v>4</v>
      </c>
      <c r="K31" s="39">
        <v>4.0999999999999996</v>
      </c>
      <c r="L31" s="82" t="s">
        <v>318</v>
      </c>
      <c r="M31" s="82">
        <v>10</v>
      </c>
      <c r="N31" s="82">
        <v>10</v>
      </c>
      <c r="O31" s="40">
        <f>AVERAGE(B31,C31,D31,E31,F31,G31,H31,I31,J31,K31)</f>
        <v>4.0999999999999996</v>
      </c>
      <c r="P31" s="40">
        <f>STDEV(B31,C31,D31,E31,F31,G31,H31,I31,J31,K31)</f>
        <v>9.4280904158206405E-2</v>
      </c>
      <c r="Q31" s="40">
        <f>P31/SQRT(N31)</f>
        <v>2.9814239699997216E-2</v>
      </c>
      <c r="R31" s="40">
        <f>TINV(0.05,N31-1)*Q31</f>
        <v>6.7444495890731315E-2</v>
      </c>
      <c r="S31" s="83" t="str">
        <f>ROUND(O31,3)&amp;" ± "&amp;ROUND(R31,3)&amp;" Ω"</f>
        <v>4,1 ± 0,067 Ω</v>
      </c>
      <c r="T31" s="41">
        <f>IF(O31&lt;&gt;0,P31/ABS(O31)*100,0)</f>
        <v>2.299534247761132</v>
      </c>
    </row>
    <row r="32" spans="1:20" ht="15" customHeight="1" x14ac:dyDescent="0.2">
      <c r="A32" s="37" t="s">
        <v>301</v>
      </c>
      <c r="B32" s="39">
        <v>4.5</v>
      </c>
      <c r="C32" s="39">
        <v>4.4000000000000004</v>
      </c>
      <c r="D32" s="39">
        <v>4.5</v>
      </c>
      <c r="E32" s="39">
        <v>4.2</v>
      </c>
      <c r="F32" s="39">
        <v>4.2</v>
      </c>
      <c r="G32" s="39">
        <v>4.0999999999999996</v>
      </c>
      <c r="H32" s="39">
        <v>4.0999999999999996</v>
      </c>
      <c r="I32" s="39">
        <v>4.0999999999999996</v>
      </c>
      <c r="J32" s="39">
        <v>4.0999999999999996</v>
      </c>
      <c r="K32" s="39">
        <v>4</v>
      </c>
      <c r="L32" s="82" t="s">
        <v>319</v>
      </c>
      <c r="M32" s="82">
        <v>10</v>
      </c>
      <c r="N32" s="82">
        <v>10</v>
      </c>
      <c r="O32" s="40">
        <f>AVERAGE(B32,C32,D32,E32,F32,G32,H32,I32,J32,K32)</f>
        <v>4.2200000000000006</v>
      </c>
      <c r="P32" s="40">
        <f>STDEV(B32,C32,D32,E32,F32,G32,H32,I32,J32,K32)</f>
        <v>0.18135294011647271</v>
      </c>
      <c r="Q32" s="40">
        <f>P32/SQRT(N32)</f>
        <v>5.7348835113617554E-2</v>
      </c>
      <c r="R32" s="40">
        <f>TINV(0.05,N32-1)*Q32</f>
        <v>0.12973207813040319</v>
      </c>
      <c r="S32" s="83" t="str">
        <f>ROUND(O32,3)&amp;" ± "&amp;ROUND(R32,3)&amp;" Ω"</f>
        <v>4,22 ± 0,13 Ω</v>
      </c>
      <c r="T32" s="41">
        <f>IF(O32&lt;&gt;0,P32/ABS(O32)*100,0)</f>
        <v>4.2974630359353716</v>
      </c>
    </row>
    <row r="33" spans="1:20" s="148" customFormat="1" ht="15" customHeight="1" x14ac:dyDescent="0.2">
      <c r="A33" s="142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4"/>
      <c r="M33" s="145"/>
      <c r="N33" s="145"/>
      <c r="O33" s="146"/>
      <c r="P33" s="146"/>
      <c r="Q33" s="146"/>
      <c r="R33" s="146"/>
      <c r="S33" s="147"/>
      <c r="T33" s="146"/>
    </row>
    <row r="34" spans="1:20" ht="22" customHeight="1" x14ac:dyDescent="0.2">
      <c r="A34" s="163" t="s">
        <v>320</v>
      </c>
      <c r="B34" s="164"/>
      <c r="C34" s="164"/>
      <c r="D34" s="164"/>
      <c r="E34" s="164"/>
      <c r="F34" s="164"/>
      <c r="G34" s="164"/>
      <c r="H34" s="164"/>
      <c r="I34" s="164"/>
      <c r="J34" s="164"/>
      <c r="K34" s="164"/>
      <c r="L34" s="164"/>
      <c r="M34" s="164"/>
      <c r="N34" s="164"/>
      <c r="O34" s="164"/>
      <c r="P34" s="164"/>
      <c r="Q34" s="164"/>
      <c r="R34" s="164"/>
      <c r="S34" s="164"/>
      <c r="T34" s="164"/>
    </row>
    <row r="35" spans="1:20" ht="15" customHeight="1" x14ac:dyDescent="0.2">
      <c r="A35" s="37" t="s">
        <v>293</v>
      </c>
      <c r="B35" s="39">
        <v>6.3</v>
      </c>
      <c r="C35" s="39">
        <v>6.5</v>
      </c>
      <c r="D35" s="39">
        <v>6.2</v>
      </c>
      <c r="E35" s="39">
        <v>6.2</v>
      </c>
      <c r="F35" s="39">
        <v>6.2</v>
      </c>
      <c r="G35" s="39">
        <v>6.3</v>
      </c>
      <c r="H35" s="39">
        <v>5.7</v>
      </c>
      <c r="I35" s="39">
        <v>6.2</v>
      </c>
      <c r="J35" s="39">
        <v>5.9</v>
      </c>
      <c r="K35" s="39">
        <v>5.9</v>
      </c>
      <c r="L35" s="82" t="s">
        <v>321</v>
      </c>
      <c r="M35" s="82">
        <v>10</v>
      </c>
      <c r="N35" s="82">
        <v>10</v>
      </c>
      <c r="O35" s="40">
        <f>AVERAGE(B35,C35,D35,E35,F35,G35,H35,I35,J35,K35)</f>
        <v>6.14</v>
      </c>
      <c r="P35" s="40">
        <f>STDEV(B35,C35,D35,E35,F35,G35,H35,I35,J35,K35)</f>
        <v>0.23664319132398448</v>
      </c>
      <c r="Q35" s="40">
        <f>P35/SQRT(N35)</f>
        <v>7.4833147735478778E-2</v>
      </c>
      <c r="R35" s="40">
        <f>TINV(0.05,N35-1)*Q35</f>
        <v>0.16928434116454963</v>
      </c>
      <c r="S35" s="83" t="str">
        <f>ROUND(O35,3)&amp;" ± "&amp;ROUND(R35,3)&amp;" Ω"</f>
        <v>6,14 ± 0,169 Ω</v>
      </c>
      <c r="T35" s="41">
        <f>IF(O35&lt;&gt;0,P35/ABS(O35)*100,0)</f>
        <v>3.8541236371984442</v>
      </c>
    </row>
    <row r="36" spans="1:20" ht="15" customHeight="1" x14ac:dyDescent="0.2">
      <c r="A36" s="37" t="s">
        <v>295</v>
      </c>
      <c r="B36" s="39">
        <v>9.9</v>
      </c>
      <c r="C36" s="39">
        <v>9.4</v>
      </c>
      <c r="D36" s="39">
        <v>9.4</v>
      </c>
      <c r="E36" s="39">
        <v>9.1</v>
      </c>
      <c r="F36" s="39">
        <v>9.4</v>
      </c>
      <c r="G36" s="39">
        <v>9.1</v>
      </c>
      <c r="H36" s="39">
        <v>8.6</v>
      </c>
      <c r="I36" s="39">
        <v>8.1999999999999993</v>
      </c>
      <c r="J36" s="39">
        <v>8.9</v>
      </c>
      <c r="K36" s="39">
        <v>8.6999999999999993</v>
      </c>
      <c r="L36" s="82" t="s">
        <v>322</v>
      </c>
      <c r="M36" s="82">
        <v>10</v>
      </c>
      <c r="N36" s="82">
        <v>10</v>
      </c>
      <c r="O36" s="40">
        <f>AVERAGE(B36,C36,D36,E36,F36,G36,H36,I36,J36,K36)</f>
        <v>9.0700000000000021</v>
      </c>
      <c r="P36" s="40">
        <f>STDEV(B36,C36,D36,E36,F36,G36,H36,I36,J36,K36)</f>
        <v>0.49001133773731342</v>
      </c>
      <c r="Q36" s="40">
        <f>P36/SQRT(N36)</f>
        <v>0.15495519065559288</v>
      </c>
      <c r="R36" s="40">
        <f>TINV(0.05,N36-1)*Q36</f>
        <v>0.35053299445431096</v>
      </c>
      <c r="S36" s="83" t="str">
        <f>ROUND(O36,3)&amp;" ± "&amp;ROUND(R36,3)&amp;" Ω"</f>
        <v>9,07 ± 0,351 Ω</v>
      </c>
      <c r="T36" s="41">
        <f>IF(O36&lt;&gt;0,P36/ABS(O36)*100,0)</f>
        <v>5.4025505814477768</v>
      </c>
    </row>
    <row r="37" spans="1:20" ht="15" customHeight="1" x14ac:dyDescent="0.2">
      <c r="A37" s="37" t="s">
        <v>297</v>
      </c>
      <c r="B37" s="39">
        <v>10.199999999999999</v>
      </c>
      <c r="C37" s="39">
        <v>10.4</v>
      </c>
      <c r="D37" s="39">
        <v>9.5</v>
      </c>
      <c r="E37" s="39">
        <v>10.199999999999999</v>
      </c>
      <c r="F37" s="39">
        <v>9.6</v>
      </c>
      <c r="G37" s="39">
        <v>9.4</v>
      </c>
      <c r="H37" s="39">
        <v>9.6999999999999993</v>
      </c>
      <c r="I37" s="39">
        <v>9.8000000000000007</v>
      </c>
      <c r="J37" s="39">
        <v>9.4</v>
      </c>
      <c r="K37" s="39">
        <v>9.3000000000000007</v>
      </c>
      <c r="L37" s="82" t="s">
        <v>323</v>
      </c>
      <c r="M37" s="82">
        <v>10</v>
      </c>
      <c r="N37" s="82">
        <v>10</v>
      </c>
      <c r="O37" s="40">
        <f>AVERAGE(B37,C37,D37,E37,F37,G37,H37,I37,J37,K37)</f>
        <v>9.75</v>
      </c>
      <c r="P37" s="40">
        <f>STDEV(B37,C37,D37,E37,F37,G37,H37,I37,J37,K37)</f>
        <v>0.38944404818493056</v>
      </c>
      <c r="Q37" s="40">
        <f>P37/SQRT(N37)</f>
        <v>0.12315302134607437</v>
      </c>
      <c r="R37" s="40">
        <f>TINV(0.05,N37-1)*Q37</f>
        <v>0.27859148935826239</v>
      </c>
      <c r="S37" s="83" t="str">
        <f>ROUND(O37,3)&amp;" ± "&amp;ROUND(R37,3)&amp;" Ω"</f>
        <v>9,75 ± 0,279 Ω</v>
      </c>
      <c r="T37" s="41">
        <f>IF(O37&lt;&gt;0,P37/ABS(O37)*100,0)</f>
        <v>3.994297930101852</v>
      </c>
    </row>
    <row r="38" spans="1:20" ht="15" customHeight="1" x14ac:dyDescent="0.2">
      <c r="A38" s="37" t="s">
        <v>299</v>
      </c>
      <c r="B38" s="39">
        <v>11.3</v>
      </c>
      <c r="C38" s="39">
        <v>10.7</v>
      </c>
      <c r="D38" s="39">
        <v>10.4</v>
      </c>
      <c r="E38" s="39">
        <v>10.199999999999999</v>
      </c>
      <c r="F38" s="39">
        <v>9.6999999999999993</v>
      </c>
      <c r="G38" s="39">
        <v>9.8000000000000007</v>
      </c>
      <c r="H38" s="39">
        <v>10.1</v>
      </c>
      <c r="I38" s="39">
        <v>10.1</v>
      </c>
      <c r="J38" s="39">
        <v>9.6</v>
      </c>
      <c r="K38" s="39">
        <v>9.1</v>
      </c>
      <c r="L38" s="82" t="s">
        <v>324</v>
      </c>
      <c r="M38" s="82">
        <v>10</v>
      </c>
      <c r="N38" s="82">
        <v>10</v>
      </c>
      <c r="O38" s="40">
        <f>AVERAGE(B38,C38,D38,E38,F38,G38,H38,I38,J38,K38)</f>
        <v>10.099999999999998</v>
      </c>
      <c r="P38" s="40">
        <f>STDEV(B38,C38,D38,E38,F38,G38,H38,I38,J38,K38)</f>
        <v>0.61463629715285928</v>
      </c>
      <c r="Q38" s="40">
        <f>P38/SQRT(N38)</f>
        <v>0.19436506316151003</v>
      </c>
      <c r="R38" s="40">
        <f>TINV(0.05,N38-1)*Q38</f>
        <v>0.43968431982853551</v>
      </c>
      <c r="S38" s="83" t="str">
        <f>ROUND(O38,3)&amp;" ± "&amp;ROUND(R38,3)&amp;" Ω"</f>
        <v>10,1 ± 0,44 Ω</v>
      </c>
      <c r="T38" s="41">
        <f>IF(O38&lt;&gt;0,P38/ABS(O38)*100,0)</f>
        <v>6.0855078926025685</v>
      </c>
    </row>
    <row r="39" spans="1:20" ht="15" customHeight="1" x14ac:dyDescent="0.2">
      <c r="A39" s="37" t="s">
        <v>301</v>
      </c>
      <c r="B39" s="39">
        <v>12</v>
      </c>
      <c r="C39" s="39">
        <v>11.3</v>
      </c>
      <c r="D39" s="39">
        <v>11.5</v>
      </c>
      <c r="E39" s="39">
        <v>11.6</v>
      </c>
      <c r="F39" s="39">
        <v>11.3</v>
      </c>
      <c r="G39" s="39">
        <v>11.3</v>
      </c>
      <c r="H39" s="39">
        <v>11.2</v>
      </c>
      <c r="I39" s="39">
        <v>11</v>
      </c>
      <c r="J39" s="39">
        <v>10.5</v>
      </c>
      <c r="K39" s="39">
        <v>10.3</v>
      </c>
      <c r="L39" s="82" t="s">
        <v>325</v>
      </c>
      <c r="M39" s="82">
        <v>10</v>
      </c>
      <c r="N39" s="82">
        <v>10</v>
      </c>
      <c r="O39" s="40">
        <f>AVERAGE(B39,C39,D39,E39,F39,G39,H39,I39,J39,K39)</f>
        <v>11.2</v>
      </c>
      <c r="P39" s="40">
        <f>STDEV(B39,C39,D39,E39,F39,G39,H39,I39,J39,K39)</f>
        <v>0.50110987927909678</v>
      </c>
      <c r="Q39" s="40">
        <f>P39/SQRT(N39)</f>
        <v>0.1584648576533961</v>
      </c>
      <c r="R39" s="40">
        <f>TINV(0.05,N39-1)*Q39</f>
        <v>0.35847241279242797</v>
      </c>
      <c r="S39" s="83" t="str">
        <f>ROUND(O39,3)&amp;" ± "&amp;ROUND(R39,3)&amp;" Ω"</f>
        <v>11,2 ± 0,358 Ω</v>
      </c>
      <c r="T39" s="41">
        <f>IF(O39&lt;&gt;0,P39/ABS(O39)*100,0)</f>
        <v>4.4741953507062213</v>
      </c>
    </row>
    <row r="40" spans="1:20" s="148" customFormat="1" ht="15" customHeight="1" x14ac:dyDescent="0.2">
      <c r="A40" s="142"/>
      <c r="B40" s="143"/>
      <c r="C40" s="143"/>
      <c r="D40" s="143"/>
      <c r="E40" s="143"/>
      <c r="F40" s="143"/>
      <c r="G40" s="143"/>
      <c r="H40" s="143"/>
      <c r="I40" s="143"/>
      <c r="J40" s="143"/>
      <c r="K40" s="143"/>
      <c r="L40" s="144"/>
      <c r="M40" s="145"/>
      <c r="N40" s="145"/>
      <c r="O40" s="146"/>
      <c r="P40" s="146"/>
      <c r="Q40" s="146"/>
      <c r="R40" s="146"/>
      <c r="S40" s="147"/>
      <c r="T40" s="146"/>
    </row>
    <row r="41" spans="1:20" ht="22" customHeight="1" x14ac:dyDescent="0.2">
      <c r="A41" s="163" t="s">
        <v>326</v>
      </c>
      <c r="B41" s="164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</row>
    <row r="42" spans="1:20" ht="15" customHeight="1" x14ac:dyDescent="0.2">
      <c r="A42" s="37" t="s">
        <v>293</v>
      </c>
      <c r="B42" s="39">
        <v>44.1</v>
      </c>
      <c r="C42" s="39">
        <v>44.5</v>
      </c>
      <c r="D42" s="39">
        <v>46</v>
      </c>
      <c r="E42" s="39">
        <v>48.2</v>
      </c>
      <c r="F42" s="39">
        <v>47.1</v>
      </c>
      <c r="G42" s="39">
        <v>53.3</v>
      </c>
      <c r="H42" s="39">
        <v>52.8</v>
      </c>
      <c r="I42" s="39">
        <v>51.5</v>
      </c>
      <c r="J42" s="39">
        <v>52.2</v>
      </c>
      <c r="K42" s="39">
        <v>52</v>
      </c>
      <c r="L42" s="82" t="s">
        <v>327</v>
      </c>
      <c r="M42" s="82">
        <v>10</v>
      </c>
      <c r="N42" s="82">
        <v>10</v>
      </c>
      <c r="O42" s="40">
        <f>AVERAGE(B42,C42,D42,E42,F42,G42,H42,I42,J42,K42)</f>
        <v>49.17</v>
      </c>
      <c r="P42" s="40">
        <f>STDEV(B42,C42,D42,E42,F42,G42,H42,I42,J42,K42)</f>
        <v>3.5845501809850555</v>
      </c>
      <c r="Q42" s="40">
        <f>P42/SQRT(N42)</f>
        <v>1.1335342959081562</v>
      </c>
      <c r="R42" s="40">
        <f>TINV(0.05,N42-1)*Q42</f>
        <v>2.5642327267660558</v>
      </c>
      <c r="S42" s="83" t="str">
        <f>ROUND(O42,3)&amp;" ± "&amp;ROUND(R42,3)&amp;" Ω"</f>
        <v>49,17 ± 2,564 Ω</v>
      </c>
      <c r="T42" s="41">
        <f>IF(O42&lt;&gt;0,P42/ABS(O42)*100,0)</f>
        <v>7.2901162924243552</v>
      </c>
    </row>
    <row r="43" spans="1:20" ht="15" customHeight="1" x14ac:dyDescent="0.2">
      <c r="A43" s="37" t="s">
        <v>295</v>
      </c>
      <c r="B43" s="39">
        <v>175</v>
      </c>
      <c r="C43" s="39">
        <v>79</v>
      </c>
      <c r="D43" s="39">
        <v>82</v>
      </c>
      <c r="E43" s="39">
        <v>80.8</v>
      </c>
      <c r="F43" s="39">
        <v>84.6</v>
      </c>
      <c r="G43" s="39">
        <v>85.4</v>
      </c>
      <c r="H43" s="39">
        <v>86.4</v>
      </c>
      <c r="I43" s="39">
        <v>88.2</v>
      </c>
      <c r="J43" s="39">
        <v>89</v>
      </c>
      <c r="K43" s="39">
        <v>90.2</v>
      </c>
      <c r="L43" s="84" t="s">
        <v>328</v>
      </c>
      <c r="M43" s="82">
        <v>10</v>
      </c>
      <c r="N43" s="82">
        <v>9</v>
      </c>
      <c r="O43" s="40">
        <f>AVERAGE(C43,D43,E43,F43,G43,H43,I43,J43,K43)</f>
        <v>85.066666666666663</v>
      </c>
      <c r="P43" s="40">
        <f>STDEV(C43,D43,E43,F43,G43,H43,I43,J43,K43)</f>
        <v>3.8431757701151286</v>
      </c>
      <c r="Q43" s="40">
        <f>P43/SQRT(N43)</f>
        <v>1.2810585900383762</v>
      </c>
      <c r="R43" s="40">
        <f>TINV(0.05,N43-1)*Q43</f>
        <v>2.9541264060673154</v>
      </c>
      <c r="S43" s="83" t="str">
        <f>ROUND(O43,3)&amp;" ± "&amp;ROUND(R43,3)&amp;" Ω"</f>
        <v>85,067 ± 2,954 Ω</v>
      </c>
      <c r="T43" s="41">
        <f>IF(O43&lt;&gt;0,P43/ABS(O43)*100,0)</f>
        <v>4.5178398551510135</v>
      </c>
    </row>
    <row r="44" spans="1:20" ht="15" customHeight="1" x14ac:dyDescent="0.2">
      <c r="A44" s="37" t="s">
        <v>297</v>
      </c>
      <c r="B44" s="39">
        <v>100</v>
      </c>
      <c r="C44" s="39">
        <v>111.9</v>
      </c>
      <c r="D44" s="39">
        <v>112</v>
      </c>
      <c r="E44" s="39">
        <v>112.8</v>
      </c>
      <c r="F44" s="39">
        <v>112.9</v>
      </c>
      <c r="G44" s="39">
        <v>112.3</v>
      </c>
      <c r="H44" s="39">
        <v>120.9</v>
      </c>
      <c r="I44" s="39">
        <v>124.3</v>
      </c>
      <c r="J44" s="39">
        <v>127.2</v>
      </c>
      <c r="K44" s="39">
        <v>112.3</v>
      </c>
      <c r="L44" s="82" t="s">
        <v>329</v>
      </c>
      <c r="M44" s="82">
        <v>10</v>
      </c>
      <c r="N44" s="82">
        <v>10</v>
      </c>
      <c r="O44" s="40">
        <f>AVERAGE(B44,C44,D44,E44,F44,G44,H44,I44,J44,K44)</f>
        <v>114.66</v>
      </c>
      <c r="P44" s="40">
        <f>STDEV(B44,C44,D44,E44,F44,G44,H44,I44,J44,K44)</f>
        <v>7.7202763335690703</v>
      </c>
      <c r="Q44" s="40">
        <f>P44/SQRT(N44)</f>
        <v>2.4413657379972111</v>
      </c>
      <c r="R44" s="40">
        <f>TINV(0.05,N44-1)*Q44</f>
        <v>5.5227529912205178</v>
      </c>
      <c r="S44" s="83" t="str">
        <f>ROUND(O44,3)&amp;" ± "&amp;ROUND(R44,3)&amp;" Ω"</f>
        <v>114,66 ± 5,523 Ω</v>
      </c>
      <c r="T44" s="41">
        <f>IF(O44&lt;&gt;0,P44/ABS(O44)*100,0)</f>
        <v>6.733190592681904</v>
      </c>
    </row>
    <row r="45" spans="1:20" ht="15" customHeight="1" x14ac:dyDescent="0.2">
      <c r="A45" s="37" t="s">
        <v>299</v>
      </c>
      <c r="B45" s="162" t="s">
        <v>298</v>
      </c>
      <c r="C45" s="160"/>
      <c r="D45" s="160"/>
      <c r="E45" s="160"/>
      <c r="F45" s="160"/>
      <c r="G45" s="160"/>
      <c r="H45" s="160"/>
      <c r="I45" s="160"/>
      <c r="J45" s="160"/>
      <c r="K45" s="160"/>
      <c r="L45" s="84" t="s">
        <v>78</v>
      </c>
      <c r="M45" s="84" t="s">
        <v>78</v>
      </c>
      <c r="N45" s="84" t="s">
        <v>78</v>
      </c>
      <c r="O45" s="84" t="s">
        <v>78</v>
      </c>
      <c r="P45" s="84" t="s">
        <v>78</v>
      </c>
      <c r="Q45" s="84" t="s">
        <v>78</v>
      </c>
      <c r="R45" s="84" t="s">
        <v>78</v>
      </c>
      <c r="S45" s="84" t="s">
        <v>78</v>
      </c>
      <c r="T45" s="84" t="s">
        <v>78</v>
      </c>
    </row>
    <row r="46" spans="1:20" ht="15" customHeight="1" x14ac:dyDescent="0.2">
      <c r="A46" s="37" t="s">
        <v>301</v>
      </c>
      <c r="B46" s="162" t="s">
        <v>300</v>
      </c>
      <c r="C46" s="160"/>
      <c r="D46" s="160"/>
      <c r="E46" s="160"/>
      <c r="F46" s="160"/>
      <c r="G46" s="160"/>
      <c r="H46" s="160"/>
      <c r="I46" s="160"/>
      <c r="J46" s="160"/>
      <c r="K46" s="160"/>
      <c r="L46" s="84" t="s">
        <v>78</v>
      </c>
      <c r="M46" s="84" t="s">
        <v>78</v>
      </c>
      <c r="N46" s="84" t="s">
        <v>78</v>
      </c>
      <c r="O46" s="84" t="s">
        <v>78</v>
      </c>
      <c r="P46" s="84" t="s">
        <v>78</v>
      </c>
      <c r="Q46" s="84" t="s">
        <v>78</v>
      </c>
      <c r="R46" s="84" t="s">
        <v>78</v>
      </c>
      <c r="S46" s="84" t="s">
        <v>78</v>
      </c>
      <c r="T46" s="84" t="s">
        <v>78</v>
      </c>
    </row>
    <row r="47" spans="1:20" s="148" customFormat="1" ht="15" customHeight="1" x14ac:dyDescent="0.2">
      <c r="A47" s="142"/>
      <c r="B47" s="143"/>
      <c r="C47" s="143"/>
      <c r="D47" s="143"/>
      <c r="E47" s="143"/>
      <c r="F47" s="143"/>
      <c r="G47" s="143"/>
      <c r="H47" s="143"/>
      <c r="I47" s="143"/>
      <c r="J47" s="143"/>
      <c r="K47" s="143"/>
      <c r="L47" s="144"/>
      <c r="M47" s="145"/>
      <c r="N47" s="145"/>
      <c r="O47" s="146"/>
      <c r="P47" s="146"/>
      <c r="Q47" s="146"/>
      <c r="R47" s="146"/>
      <c r="S47" s="147"/>
      <c r="T47" s="146"/>
    </row>
    <row r="48" spans="1:20" ht="22" customHeight="1" x14ac:dyDescent="0.2">
      <c r="A48" s="163" t="s">
        <v>330</v>
      </c>
      <c r="B48" s="164"/>
      <c r="C48" s="164"/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4"/>
      <c r="R48" s="164"/>
      <c r="S48" s="164"/>
      <c r="T48" s="164"/>
    </row>
    <row r="49" spans="1:20" ht="15" customHeight="1" x14ac:dyDescent="0.2">
      <c r="A49" s="37" t="s">
        <v>293</v>
      </c>
      <c r="B49" s="39">
        <v>103.1</v>
      </c>
      <c r="C49" s="39">
        <v>100.8</v>
      </c>
      <c r="D49" s="39">
        <v>107.1</v>
      </c>
      <c r="E49" s="39">
        <v>102.6</v>
      </c>
      <c r="F49" s="39">
        <v>150</v>
      </c>
      <c r="G49" s="39">
        <v>106.9</v>
      </c>
      <c r="H49" s="39">
        <v>108.7</v>
      </c>
      <c r="I49" s="39">
        <v>109.8</v>
      </c>
      <c r="J49" s="39">
        <v>110.5</v>
      </c>
      <c r="K49" s="35"/>
      <c r="L49" s="84" t="s">
        <v>331</v>
      </c>
      <c r="M49" s="82">
        <v>9</v>
      </c>
      <c r="N49" s="82">
        <v>8</v>
      </c>
      <c r="O49" s="40">
        <f>AVERAGE(B49,C49,D49,E49,G49,H49,I49,J49)</f>
        <v>106.1875</v>
      </c>
      <c r="P49" s="40">
        <f>STDEV(B49,C49,D49,E49,G49,H49,I49,J49)</f>
        <v>3.6001736069250905</v>
      </c>
      <c r="Q49" s="40">
        <f>P49/SQRT(N49)</f>
        <v>1.2728535854527816</v>
      </c>
      <c r="R49" s="40">
        <f>TINV(0.05,N49-1)*Q49</f>
        <v>3.0098204568884768</v>
      </c>
      <c r="S49" s="83" t="str">
        <f>ROUND(O49,3)&amp;" ± "&amp;ROUND(R49,3)&amp;" Ω"</f>
        <v>106,188 ± 3,01 Ω</v>
      </c>
      <c r="T49" s="41">
        <f>IF(O49&lt;&gt;0,P49/ABS(O49)*100,0)</f>
        <v>3.3903930377163891</v>
      </c>
    </row>
    <row r="50" spans="1:20" ht="15" customHeight="1" x14ac:dyDescent="0.2">
      <c r="A50" s="37" t="s">
        <v>295</v>
      </c>
      <c r="B50" s="39">
        <v>310</v>
      </c>
      <c r="C50" s="39">
        <v>379</v>
      </c>
      <c r="D50" s="39">
        <v>390</v>
      </c>
      <c r="E50" s="39">
        <v>290</v>
      </c>
      <c r="F50" s="39">
        <v>414</v>
      </c>
      <c r="G50" s="39">
        <v>270</v>
      </c>
      <c r="H50" s="39">
        <v>339</v>
      </c>
      <c r="I50" s="39">
        <v>125</v>
      </c>
      <c r="J50" s="39">
        <v>259</v>
      </c>
      <c r="K50" s="39">
        <v>205</v>
      </c>
      <c r="L50" s="82" t="s">
        <v>332</v>
      </c>
      <c r="M50" s="82">
        <v>10</v>
      </c>
      <c r="N50" s="82">
        <v>10</v>
      </c>
      <c r="O50" s="40">
        <f>AVERAGE(B50,C50,D50,E50,F50,G50,H50,I50,J50,K50)</f>
        <v>298.10000000000002</v>
      </c>
      <c r="P50" s="40">
        <f>STDEV(B50,C50,D50,E50,F50,G50,H50,I50,J50,K50)</f>
        <v>88.977462814405371</v>
      </c>
      <c r="Q50" s="40">
        <f>P50/SQRT(N50)</f>
        <v>28.137144291645679</v>
      </c>
      <c r="R50" s="40">
        <f>TINV(0.05,N50-1)*Q50</f>
        <v>63.650642500032909</v>
      </c>
      <c r="S50" s="83" t="str">
        <f>ROUND(O50,3)&amp;" ± "&amp;ROUND(R50,3)&amp;" Ω"</f>
        <v>298,1 ± 63,651 Ω</v>
      </c>
      <c r="T50" s="41">
        <f>IF(O50&lt;&gt;0,P50/ABS(O50)*100,0)</f>
        <v>29.848192826033333</v>
      </c>
    </row>
    <row r="51" spans="1:20" ht="15" customHeight="1" x14ac:dyDescent="0.2">
      <c r="A51" s="37" t="s">
        <v>297</v>
      </c>
      <c r="B51" s="39">
        <v>296</v>
      </c>
      <c r="C51" s="39">
        <v>479</v>
      </c>
      <c r="D51" s="39">
        <v>285</v>
      </c>
      <c r="E51" s="39">
        <v>569</v>
      </c>
      <c r="F51" s="39">
        <v>520</v>
      </c>
      <c r="G51" s="39">
        <v>780</v>
      </c>
      <c r="H51" s="84" t="s">
        <v>333</v>
      </c>
      <c r="I51" s="84" t="s">
        <v>333</v>
      </c>
      <c r="J51" s="84" t="s">
        <v>333</v>
      </c>
      <c r="K51" s="84" t="s">
        <v>333</v>
      </c>
      <c r="L51" s="82" t="s">
        <v>334</v>
      </c>
      <c r="M51" s="82">
        <v>6</v>
      </c>
      <c r="N51" s="82">
        <v>6</v>
      </c>
      <c r="O51" s="40">
        <f>AVERAGE(B51,C51,D51,E51,F51,G51)</f>
        <v>488.16666666666669</v>
      </c>
      <c r="P51" s="40">
        <f>STDEV(B51,C51,D51,E51,F51,G51)</f>
        <v>184.93395217392248</v>
      </c>
      <c r="Q51" s="40">
        <f>P51/SQRT(N51)</f>
        <v>75.498969823729666</v>
      </c>
      <c r="R51" s="40">
        <f>TINV(0.05,N51-1)*Q51</f>
        <v>194.07628043813375</v>
      </c>
      <c r="S51" s="83" t="str">
        <f>ROUND(O51,3)&amp;" ± "&amp;ROUND(R51,3)&amp;" Ω"</f>
        <v>488,167 ± 194,076 Ω</v>
      </c>
      <c r="T51" s="41">
        <f>IF(O51&lt;&gt;0,P51/ABS(O51)*100,0)</f>
        <v>37.883363367822973</v>
      </c>
    </row>
    <row r="52" spans="1:20" ht="15" customHeight="1" x14ac:dyDescent="0.2">
      <c r="A52" s="37" t="s">
        <v>299</v>
      </c>
      <c r="B52" s="162" t="s">
        <v>298</v>
      </c>
      <c r="C52" s="160"/>
      <c r="D52" s="160"/>
      <c r="E52" s="160"/>
      <c r="F52" s="160"/>
      <c r="G52" s="160"/>
      <c r="H52" s="160"/>
      <c r="I52" s="160"/>
      <c r="J52" s="160"/>
      <c r="K52" s="160"/>
      <c r="L52" s="84" t="s">
        <v>78</v>
      </c>
      <c r="M52" s="84" t="s">
        <v>78</v>
      </c>
      <c r="N52" s="84" t="s">
        <v>78</v>
      </c>
      <c r="O52" s="84" t="s">
        <v>78</v>
      </c>
      <c r="P52" s="84" t="s">
        <v>78</v>
      </c>
      <c r="Q52" s="84" t="s">
        <v>78</v>
      </c>
      <c r="R52" s="84" t="s">
        <v>78</v>
      </c>
      <c r="S52" s="84" t="s">
        <v>78</v>
      </c>
      <c r="T52" s="84" t="s">
        <v>78</v>
      </c>
    </row>
    <row r="53" spans="1:20" ht="15" customHeight="1" x14ac:dyDescent="0.2">
      <c r="A53" s="37" t="s">
        <v>301</v>
      </c>
      <c r="B53" s="162" t="s">
        <v>298</v>
      </c>
      <c r="C53" s="160"/>
      <c r="D53" s="160"/>
      <c r="E53" s="160"/>
      <c r="F53" s="160"/>
      <c r="G53" s="160"/>
      <c r="H53" s="160"/>
      <c r="I53" s="160"/>
      <c r="J53" s="160"/>
      <c r="K53" s="160"/>
      <c r="L53" s="84" t="s">
        <v>78</v>
      </c>
      <c r="M53" s="84" t="s">
        <v>78</v>
      </c>
      <c r="N53" s="84" t="s">
        <v>78</v>
      </c>
      <c r="O53" s="84" t="s">
        <v>78</v>
      </c>
      <c r="P53" s="84" t="s">
        <v>78</v>
      </c>
      <c r="Q53" s="84" t="s">
        <v>78</v>
      </c>
      <c r="R53" s="84" t="s">
        <v>78</v>
      </c>
      <c r="S53" s="84" t="s">
        <v>78</v>
      </c>
      <c r="T53" s="84" t="s">
        <v>78</v>
      </c>
    </row>
    <row r="54" spans="1:20" s="148" customFormat="1" ht="15" customHeight="1" x14ac:dyDescent="0.2">
      <c r="A54" s="142"/>
      <c r="B54" s="143"/>
      <c r="C54" s="143"/>
      <c r="D54" s="143"/>
      <c r="E54" s="143"/>
      <c r="F54" s="143"/>
      <c r="G54" s="143"/>
      <c r="H54" s="143"/>
      <c r="I54" s="143"/>
      <c r="J54" s="143"/>
      <c r="K54" s="143"/>
      <c r="L54" s="144"/>
      <c r="M54" s="145"/>
      <c r="N54" s="145"/>
      <c r="O54" s="146"/>
      <c r="P54" s="146"/>
      <c r="Q54" s="146"/>
      <c r="R54" s="146"/>
      <c r="S54" s="147"/>
      <c r="T54" s="146"/>
    </row>
    <row r="55" spans="1:20" ht="22" customHeight="1" x14ac:dyDescent="0.2">
      <c r="A55" s="163" t="s">
        <v>335</v>
      </c>
      <c r="B55" s="164"/>
      <c r="C55" s="164"/>
      <c r="D55" s="164"/>
      <c r="E55" s="164"/>
      <c r="F55" s="164"/>
      <c r="G55" s="164"/>
      <c r="H55" s="164"/>
      <c r="I55" s="164"/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</row>
    <row r="56" spans="1:20" ht="15" customHeight="1" x14ac:dyDescent="0.2">
      <c r="A56" s="37" t="s">
        <v>293</v>
      </c>
      <c r="B56" s="39">
        <v>31.7</v>
      </c>
      <c r="C56" s="39">
        <v>24</v>
      </c>
      <c r="D56" s="39">
        <v>27.3</v>
      </c>
      <c r="E56" s="39">
        <v>27.7</v>
      </c>
      <c r="F56" s="39">
        <v>25.2</v>
      </c>
      <c r="G56" s="39">
        <v>29.2</v>
      </c>
      <c r="H56" s="39">
        <v>32.1</v>
      </c>
      <c r="I56" s="39">
        <v>24.5</v>
      </c>
      <c r="J56" s="39">
        <v>27.2</v>
      </c>
      <c r="K56" s="39">
        <v>17.7</v>
      </c>
      <c r="L56" s="82" t="s">
        <v>336</v>
      </c>
      <c r="M56" s="82">
        <v>10</v>
      </c>
      <c r="N56" s="82">
        <v>10</v>
      </c>
      <c r="O56" s="40">
        <f>AVERAGE(B56,C56,D56,E56,F56,G56,H56,I56,J56,K56)</f>
        <v>26.659999999999997</v>
      </c>
      <c r="P56" s="40">
        <f>STDEV(B56,C56,D56,E56,F56,G56,H56,I56,J56,K56)</f>
        <v>4.1817593320409072</v>
      </c>
      <c r="Q56" s="40">
        <f>P56/SQRT(N56)</f>
        <v>1.3223884115913604</v>
      </c>
      <c r="R56" s="40">
        <f>TINV(0.05,N56-1)*Q56</f>
        <v>2.9914504172827372</v>
      </c>
      <c r="S56" s="83" t="str">
        <f>ROUND(O56,3)&amp;" ± "&amp;ROUND(R56,3)&amp;" Ω"</f>
        <v>26,66 ± 2,991 Ω</v>
      </c>
      <c r="T56" s="41">
        <f>IF(O56&lt;&gt;0,P56/ABS(O56)*100,0)</f>
        <v>15.685518874872123</v>
      </c>
    </row>
    <row r="57" spans="1:20" ht="15" customHeight="1" x14ac:dyDescent="0.2">
      <c r="A57" s="37" t="s">
        <v>295</v>
      </c>
      <c r="B57" s="39">
        <v>44.7</v>
      </c>
      <c r="C57" s="39">
        <v>19.3</v>
      </c>
      <c r="D57" s="39">
        <v>49.7</v>
      </c>
      <c r="E57" s="39">
        <v>45</v>
      </c>
      <c r="F57" s="39">
        <v>41.8</v>
      </c>
      <c r="G57" s="39">
        <v>32.799999999999997</v>
      </c>
      <c r="H57" s="39">
        <v>50.2</v>
      </c>
      <c r="I57" s="39">
        <v>45.8</v>
      </c>
      <c r="J57" s="39">
        <v>48</v>
      </c>
      <c r="K57" s="39">
        <v>48.5</v>
      </c>
      <c r="L57" s="84" t="s">
        <v>337</v>
      </c>
      <c r="M57" s="82">
        <v>10</v>
      </c>
      <c r="N57" s="82">
        <v>8</v>
      </c>
      <c r="O57" s="40">
        <f>AVERAGE(B57,D57,E57,F57,H57,I57,J57,K57)</f>
        <v>46.712499999999999</v>
      </c>
      <c r="P57" s="40">
        <f>STDEV(B57,D57,E57,F57,H57,I57,J57,K57)</f>
        <v>2.8757297210571506</v>
      </c>
      <c r="Q57" s="40">
        <f>P57/SQRT(N57)</f>
        <v>1.0167239933096048</v>
      </c>
      <c r="R57" s="40">
        <f>TINV(0.05,N57-1)*Q57</f>
        <v>2.4041702117561519</v>
      </c>
      <c r="S57" s="83" t="str">
        <f>ROUND(O57,3)&amp;" ± "&amp;ROUND(R57,3)&amp;" Ω"</f>
        <v>46,713 ± 2,404 Ω</v>
      </c>
      <c r="T57" s="41">
        <f>IF(O57&lt;&gt;0,P57/ABS(O57)*100,0)</f>
        <v>6.1562316747276444</v>
      </c>
    </row>
    <row r="58" spans="1:20" ht="15" customHeight="1" x14ac:dyDescent="0.2">
      <c r="A58" s="37" t="s">
        <v>297</v>
      </c>
      <c r="B58" s="39">
        <v>29.2</v>
      </c>
      <c r="C58" s="39">
        <v>52.2</v>
      </c>
      <c r="D58" s="39">
        <v>54.7</v>
      </c>
      <c r="E58" s="39">
        <v>47.5</v>
      </c>
      <c r="F58" s="39">
        <v>46.9</v>
      </c>
      <c r="G58" s="39">
        <v>44.9</v>
      </c>
      <c r="H58" s="39">
        <v>60.8</v>
      </c>
      <c r="I58" s="39">
        <v>63.2</v>
      </c>
      <c r="J58" s="39">
        <v>56.3</v>
      </c>
      <c r="K58" s="39">
        <v>49.9</v>
      </c>
      <c r="L58" s="82" t="s">
        <v>338</v>
      </c>
      <c r="M58" s="82">
        <v>10</v>
      </c>
      <c r="N58" s="82">
        <v>10</v>
      </c>
      <c r="O58" s="40">
        <f>AVERAGE(B58,C58,D58,E58,F58,G58,H58,I58,J58,K58)</f>
        <v>50.56</v>
      </c>
      <c r="P58" s="40">
        <f>STDEV(B58,C58,D58,E58,F58,G58,H58,I58,J58,K58)</f>
        <v>9.5967818680129451</v>
      </c>
      <c r="Q58" s="40">
        <f>P58/SQRT(N58)</f>
        <v>3.0347688910726305</v>
      </c>
      <c r="R58" s="40">
        <f>TINV(0.05,N58-1)*Q58</f>
        <v>6.8651241843771178</v>
      </c>
      <c r="S58" s="83" t="str">
        <f>ROUND(O58,3)&amp;" ± "&amp;ROUND(R58,3)&amp;" Ω"</f>
        <v>50,56 ± 6,865 Ω</v>
      </c>
      <c r="T58" s="41">
        <f>IF(O58&lt;&gt;0,P58/ABS(O58)*100,0)</f>
        <v>18.980976795911676</v>
      </c>
    </row>
    <row r="59" spans="1:20" ht="15" customHeight="1" x14ac:dyDescent="0.2">
      <c r="A59" s="37" t="s">
        <v>299</v>
      </c>
      <c r="B59" s="39">
        <v>90</v>
      </c>
      <c r="C59" s="39">
        <v>76.3</v>
      </c>
      <c r="D59" s="39">
        <v>72.3</v>
      </c>
      <c r="E59" s="39">
        <v>70.3</v>
      </c>
      <c r="F59" s="39">
        <v>83.6</v>
      </c>
      <c r="G59" s="39">
        <v>78.099999999999994</v>
      </c>
      <c r="H59" s="39">
        <v>74.3</v>
      </c>
      <c r="I59" s="39">
        <v>73.3</v>
      </c>
      <c r="J59" s="39">
        <v>71.5</v>
      </c>
      <c r="K59" s="39">
        <v>68.900000000000006</v>
      </c>
      <c r="L59" s="82" t="s">
        <v>339</v>
      </c>
      <c r="M59" s="82">
        <v>10</v>
      </c>
      <c r="N59" s="82">
        <v>10</v>
      </c>
      <c r="O59" s="40">
        <f>AVERAGE(B59,C59,D59,E59,F59,G59,H59,I59,J59,K59)</f>
        <v>75.859999999999985</v>
      </c>
      <c r="P59" s="40">
        <f>STDEV(B59,C59,D59,E59,F59,G59,H59,I59,J59,K59)</f>
        <v>6.5411857572699379</v>
      </c>
      <c r="Q59" s="40">
        <f>P59/SQRT(N59)</f>
        <v>2.0685045591226308</v>
      </c>
      <c r="R59" s="40">
        <f>TINV(0.05,N59-1)*Q59</f>
        <v>4.679282404700003</v>
      </c>
      <c r="S59" s="83" t="str">
        <f>ROUND(O59,3)&amp;" ± "&amp;ROUND(R59,3)&amp;" Ω"</f>
        <v>75,86 ± 4,679 Ω</v>
      </c>
      <c r="T59" s="41">
        <f>IF(O59&lt;&gt;0,P59/ABS(O59)*100,0)</f>
        <v>8.6227072993276277</v>
      </c>
    </row>
    <row r="60" spans="1:20" ht="15" customHeight="1" x14ac:dyDescent="0.2">
      <c r="A60" s="37" t="s">
        <v>301</v>
      </c>
      <c r="B60" s="39">
        <v>73.2</v>
      </c>
      <c r="C60" s="39">
        <v>73.099999999999994</v>
      </c>
      <c r="D60" s="39">
        <v>75.900000000000006</v>
      </c>
      <c r="E60" s="39">
        <v>73</v>
      </c>
      <c r="F60" s="39">
        <v>75.099999999999994</v>
      </c>
      <c r="G60" s="39">
        <v>80.599999999999994</v>
      </c>
      <c r="H60" s="39">
        <v>83.5</v>
      </c>
      <c r="I60" s="39">
        <v>78.8</v>
      </c>
      <c r="J60" s="39">
        <v>84.6</v>
      </c>
      <c r="K60" s="39">
        <v>82.6</v>
      </c>
      <c r="L60" s="82" t="s">
        <v>340</v>
      </c>
      <c r="M60" s="82">
        <v>10</v>
      </c>
      <c r="N60" s="82">
        <v>10</v>
      </c>
      <c r="O60" s="40">
        <f>AVERAGE(B60,C60,D60,E60,F60,G60,H60,I60,J60,K60)</f>
        <v>78.040000000000006</v>
      </c>
      <c r="P60" s="40">
        <f>STDEV(B60,C60,D60,E60,F60,G60,H60,I60,J60,K60)</f>
        <v>4.5609940436999752</v>
      </c>
      <c r="Q60" s="40">
        <f>P60/SQRT(N60)</f>
        <v>1.4423129572553472</v>
      </c>
      <c r="R60" s="40">
        <f>TINV(0.05,N60-1)*Q60</f>
        <v>3.2627385872518455</v>
      </c>
      <c r="S60" s="83" t="str">
        <f>ROUND(O60,3)&amp;" ± "&amp;ROUND(R60,3)&amp;" Ω"</f>
        <v>78,04 ± 3,263 Ω</v>
      </c>
      <c r="T60" s="41">
        <f>IF(O60&lt;&gt;0,P60/ABS(O60)*100,0)</f>
        <v>5.8444311169912542</v>
      </c>
    </row>
    <row r="61" spans="1:20" s="148" customFormat="1" ht="15" customHeight="1" x14ac:dyDescent="0.2">
      <c r="A61" s="142"/>
      <c r="B61" s="143"/>
      <c r="C61" s="143"/>
      <c r="D61" s="143"/>
      <c r="E61" s="143"/>
      <c r="F61" s="143"/>
      <c r="G61" s="143"/>
      <c r="H61" s="143"/>
      <c r="I61" s="143"/>
      <c r="J61" s="143"/>
      <c r="K61" s="143"/>
      <c r="L61" s="144"/>
      <c r="M61" s="145"/>
      <c r="N61" s="145"/>
      <c r="O61" s="146"/>
      <c r="P61" s="146"/>
      <c r="Q61" s="146"/>
      <c r="R61" s="146"/>
      <c r="S61" s="147"/>
      <c r="T61" s="146"/>
    </row>
    <row r="62" spans="1:20" ht="22" customHeight="1" x14ac:dyDescent="0.2">
      <c r="A62" s="163" t="s">
        <v>341</v>
      </c>
      <c r="B62" s="164"/>
      <c r="C62" s="164"/>
      <c r="D62" s="164"/>
      <c r="E62" s="164"/>
      <c r="F62" s="164"/>
      <c r="G62" s="164"/>
      <c r="H62" s="164"/>
      <c r="I62" s="164"/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</row>
    <row r="63" spans="1:20" ht="15" customHeight="1" x14ac:dyDescent="0.2">
      <c r="A63" s="37" t="s">
        <v>293</v>
      </c>
      <c r="B63" s="39">
        <v>190</v>
      </c>
      <c r="C63" s="39">
        <v>260</v>
      </c>
      <c r="D63" s="39">
        <v>237</v>
      </c>
      <c r="E63" s="39">
        <v>290</v>
      </c>
      <c r="F63" s="39">
        <v>282</v>
      </c>
      <c r="G63" s="39">
        <v>105</v>
      </c>
      <c r="H63" s="39">
        <v>270</v>
      </c>
      <c r="I63" s="39">
        <v>245</v>
      </c>
      <c r="J63" s="39">
        <v>150</v>
      </c>
      <c r="K63" s="39">
        <v>183</v>
      </c>
      <c r="L63" s="82" t="s">
        <v>342</v>
      </c>
      <c r="M63" s="82">
        <v>10</v>
      </c>
      <c r="N63" s="82">
        <v>10</v>
      </c>
      <c r="O63" s="40">
        <f>AVERAGE(B63,C63,D63,E63,F63,G63,H63,I63,J63,K63)</f>
        <v>221.2</v>
      </c>
      <c r="P63" s="40">
        <f>STDEV(B63,C63,D63,E63,F63,G63,H63,I63,J63,K63)</f>
        <v>61.587877595080869</v>
      </c>
      <c r="Q63" s="40">
        <f>P63/SQRT(N63)</f>
        <v>19.475796945610888</v>
      </c>
      <c r="R63" s="40">
        <f>TINV(0.05,N63-1)*Q63</f>
        <v>44.057313561717081</v>
      </c>
      <c r="S63" s="83" t="str">
        <f>ROUND(O63,3)&amp;" ± "&amp;ROUND(R63,3)&amp;" Ω"</f>
        <v>221,2 ± 44,057 Ω</v>
      </c>
      <c r="T63" s="41">
        <f>IF(O63&lt;&gt;0,P63/ABS(O63)*100,0)</f>
        <v>27.842620974268023</v>
      </c>
    </row>
    <row r="64" spans="1:20" ht="15" customHeight="1" x14ac:dyDescent="0.2">
      <c r="A64" s="37" t="s">
        <v>295</v>
      </c>
      <c r="B64" s="162" t="s">
        <v>298</v>
      </c>
      <c r="C64" s="160"/>
      <c r="D64" s="160"/>
      <c r="E64" s="160"/>
      <c r="F64" s="160"/>
      <c r="G64" s="160"/>
      <c r="H64" s="160"/>
      <c r="I64" s="160"/>
      <c r="J64" s="160"/>
      <c r="K64" s="160"/>
      <c r="L64" s="84" t="s">
        <v>78</v>
      </c>
      <c r="M64" s="84" t="s">
        <v>78</v>
      </c>
      <c r="N64" s="84" t="s">
        <v>78</v>
      </c>
      <c r="O64" s="84" t="s">
        <v>78</v>
      </c>
      <c r="P64" s="84" t="s">
        <v>78</v>
      </c>
      <c r="Q64" s="84" t="s">
        <v>78</v>
      </c>
      <c r="R64" s="84" t="s">
        <v>78</v>
      </c>
      <c r="S64" s="84" t="s">
        <v>78</v>
      </c>
      <c r="T64" s="84" t="s">
        <v>78</v>
      </c>
    </row>
    <row r="65" spans="1:20" ht="15" customHeight="1" x14ac:dyDescent="0.2">
      <c r="A65" s="37" t="s">
        <v>297</v>
      </c>
      <c r="B65" s="162" t="s">
        <v>298</v>
      </c>
      <c r="C65" s="160"/>
      <c r="D65" s="160"/>
      <c r="E65" s="160"/>
      <c r="F65" s="160"/>
      <c r="G65" s="160"/>
      <c r="H65" s="160"/>
      <c r="I65" s="160"/>
      <c r="J65" s="160"/>
      <c r="K65" s="160"/>
      <c r="L65" s="84" t="s">
        <v>78</v>
      </c>
      <c r="M65" s="84" t="s">
        <v>78</v>
      </c>
      <c r="N65" s="84" t="s">
        <v>78</v>
      </c>
      <c r="O65" s="84" t="s">
        <v>78</v>
      </c>
      <c r="P65" s="84" t="s">
        <v>78</v>
      </c>
      <c r="Q65" s="84" t="s">
        <v>78</v>
      </c>
      <c r="R65" s="84" t="s">
        <v>78</v>
      </c>
      <c r="S65" s="84" t="s">
        <v>78</v>
      </c>
      <c r="T65" s="84" t="s">
        <v>78</v>
      </c>
    </row>
    <row r="66" spans="1:20" ht="15" customHeight="1" x14ac:dyDescent="0.2">
      <c r="A66" s="37" t="s">
        <v>299</v>
      </c>
      <c r="B66" s="162" t="s">
        <v>298</v>
      </c>
      <c r="C66" s="160"/>
      <c r="D66" s="160"/>
      <c r="E66" s="160"/>
      <c r="F66" s="160"/>
      <c r="G66" s="160"/>
      <c r="H66" s="160"/>
      <c r="I66" s="160"/>
      <c r="J66" s="160"/>
      <c r="K66" s="160"/>
      <c r="L66" s="84" t="s">
        <v>78</v>
      </c>
      <c r="M66" s="84" t="s">
        <v>78</v>
      </c>
      <c r="N66" s="84" t="s">
        <v>78</v>
      </c>
      <c r="O66" s="84" t="s">
        <v>78</v>
      </c>
      <c r="P66" s="84" t="s">
        <v>78</v>
      </c>
      <c r="Q66" s="84" t="s">
        <v>78</v>
      </c>
      <c r="R66" s="84" t="s">
        <v>78</v>
      </c>
      <c r="S66" s="84" t="s">
        <v>78</v>
      </c>
      <c r="T66" s="84" t="s">
        <v>78</v>
      </c>
    </row>
    <row r="67" spans="1:20" ht="15" customHeight="1" x14ac:dyDescent="0.2">
      <c r="A67" s="37" t="s">
        <v>301</v>
      </c>
      <c r="B67" s="162" t="s">
        <v>298</v>
      </c>
      <c r="C67" s="160"/>
      <c r="D67" s="160"/>
      <c r="E67" s="160"/>
      <c r="F67" s="160"/>
      <c r="G67" s="160"/>
      <c r="H67" s="160"/>
      <c r="I67" s="160"/>
      <c r="J67" s="160"/>
      <c r="K67" s="160"/>
      <c r="L67" s="84" t="s">
        <v>78</v>
      </c>
      <c r="M67" s="84" t="s">
        <v>78</v>
      </c>
      <c r="N67" s="84" t="s">
        <v>78</v>
      </c>
      <c r="O67" s="84" t="s">
        <v>78</v>
      </c>
      <c r="P67" s="84" t="s">
        <v>78</v>
      </c>
      <c r="Q67" s="84" t="s">
        <v>78</v>
      </c>
      <c r="R67" s="84" t="s">
        <v>78</v>
      </c>
      <c r="S67" s="84" t="s">
        <v>78</v>
      </c>
      <c r="T67" s="84" t="s">
        <v>78</v>
      </c>
    </row>
    <row r="68" spans="1:20" s="148" customFormat="1" ht="15" customHeight="1" x14ac:dyDescent="0.2">
      <c r="A68" s="142"/>
      <c r="B68" s="143"/>
      <c r="C68" s="143"/>
      <c r="D68" s="143"/>
      <c r="E68" s="143"/>
      <c r="F68" s="143"/>
      <c r="G68" s="143"/>
      <c r="H68" s="143"/>
      <c r="I68" s="143"/>
      <c r="J68" s="143"/>
      <c r="K68" s="143"/>
      <c r="L68" s="144"/>
      <c r="M68" s="145"/>
      <c r="N68" s="145"/>
      <c r="O68" s="146"/>
      <c r="P68" s="146"/>
      <c r="Q68" s="146"/>
      <c r="R68" s="146"/>
      <c r="S68" s="147"/>
      <c r="T68" s="146"/>
    </row>
    <row r="69" spans="1:20" ht="22" customHeight="1" x14ac:dyDescent="0.2">
      <c r="A69" s="163" t="s">
        <v>343</v>
      </c>
      <c r="B69" s="164"/>
      <c r="C69" s="164"/>
      <c r="D69" s="164"/>
      <c r="E69" s="164"/>
      <c r="F69" s="164"/>
      <c r="G69" s="164"/>
      <c r="H69" s="164"/>
      <c r="I69" s="164"/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64"/>
    </row>
    <row r="70" spans="1:20" ht="15" customHeight="1" x14ac:dyDescent="0.2">
      <c r="A70" s="37" t="s">
        <v>293</v>
      </c>
      <c r="B70" s="39">
        <v>21</v>
      </c>
      <c r="C70" s="39">
        <v>20</v>
      </c>
      <c r="D70" s="39">
        <v>20</v>
      </c>
      <c r="E70" s="39">
        <v>20.2</v>
      </c>
      <c r="F70" s="39">
        <v>17.7</v>
      </c>
      <c r="G70" s="39">
        <v>15.1</v>
      </c>
      <c r="H70" s="39">
        <v>19.5</v>
      </c>
      <c r="I70" s="39">
        <v>11.2</v>
      </c>
      <c r="J70" s="39">
        <v>15.9</v>
      </c>
      <c r="K70" s="39">
        <v>20.100000000000001</v>
      </c>
      <c r="L70" s="82" t="s">
        <v>344</v>
      </c>
      <c r="M70" s="82">
        <v>10</v>
      </c>
      <c r="N70" s="82">
        <v>10</v>
      </c>
      <c r="O70" s="40">
        <f>AVERAGE(B70,C70,D70,E70,F70,G70,H70,I70,J70,K70)</f>
        <v>18.07</v>
      </c>
      <c r="P70" s="40">
        <f>STDEV(B70,C70,D70,E70,F70,G70,H70,I70,J70,K70)</f>
        <v>3.1198468623386884</v>
      </c>
      <c r="Q70" s="40">
        <f>P70/SQRT(N70)</f>
        <v>0.98658220359200466</v>
      </c>
      <c r="R70" s="40">
        <f>TINV(0.05,N70-1)*Q70</f>
        <v>2.2318039985448905</v>
      </c>
      <c r="S70" s="83" t="str">
        <f>ROUND(O70,3)&amp;" ± "&amp;ROUND(R70,3)&amp;" Ω"</f>
        <v>18,07 ± 2,232 Ω</v>
      </c>
      <c r="T70" s="41">
        <f>IF(O70&lt;&gt;0,P70/ABS(O70)*100,0)</f>
        <v>17.265339581287705</v>
      </c>
    </row>
    <row r="71" spans="1:20" ht="15" customHeight="1" x14ac:dyDescent="0.2">
      <c r="A71" s="37" t="s">
        <v>295</v>
      </c>
      <c r="B71" s="39">
        <v>20.5</v>
      </c>
      <c r="C71" s="39">
        <v>17.2</v>
      </c>
      <c r="D71" s="39">
        <v>33.700000000000003</v>
      </c>
      <c r="E71" s="39">
        <v>21.9</v>
      </c>
      <c r="F71" s="39">
        <v>16.899999999999999</v>
      </c>
      <c r="G71" s="39">
        <v>22.5</v>
      </c>
      <c r="H71" s="39">
        <v>22.1</v>
      </c>
      <c r="I71" s="39">
        <v>29.9</v>
      </c>
      <c r="J71" s="39">
        <v>31.4</v>
      </c>
      <c r="K71" s="39">
        <v>28.3</v>
      </c>
      <c r="L71" s="82" t="s">
        <v>345</v>
      </c>
      <c r="M71" s="82">
        <v>10</v>
      </c>
      <c r="N71" s="82">
        <v>10</v>
      </c>
      <c r="O71" s="40">
        <f>AVERAGE(B71,C71,D71,E71,F71,G71,H71,I71,J71,K71)</f>
        <v>24.440000000000005</v>
      </c>
      <c r="P71" s="40">
        <f>STDEV(B71,C71,D71,E71,F71,G71,H71,I71,J71,K71)</f>
        <v>5.9571059341857531</v>
      </c>
      <c r="Q71" s="40">
        <f>P71/SQRT(N71)</f>
        <v>1.883802301493209</v>
      </c>
      <c r="R71" s="40">
        <f>TINV(0.05,N71-1)*Q71</f>
        <v>4.2614568696186073</v>
      </c>
      <c r="S71" s="83" t="str">
        <f>ROUND(O71,3)&amp;" ± "&amp;ROUND(R71,3)&amp;" Ω"</f>
        <v>24,44 ± 4,261 Ω</v>
      </c>
      <c r="T71" s="41">
        <f>IF(O71&lt;&gt;0,P71/ABS(O71)*100,0)</f>
        <v>24.374410532674926</v>
      </c>
    </row>
    <row r="72" spans="1:20" ht="15" customHeight="1" x14ac:dyDescent="0.2">
      <c r="A72" s="37" t="s">
        <v>297</v>
      </c>
      <c r="B72" s="39">
        <v>34.5</v>
      </c>
      <c r="C72" s="39">
        <v>45.2</v>
      </c>
      <c r="D72" s="39">
        <v>41.2</v>
      </c>
      <c r="E72" s="39">
        <v>38.9</v>
      </c>
      <c r="F72" s="39">
        <v>47.3</v>
      </c>
      <c r="G72" s="39">
        <v>46.9</v>
      </c>
      <c r="H72" s="39">
        <v>46.5</v>
      </c>
      <c r="I72" s="39">
        <v>46.4</v>
      </c>
      <c r="J72" s="39">
        <v>39.200000000000003</v>
      </c>
      <c r="K72" s="39">
        <v>28.9</v>
      </c>
      <c r="L72" s="82" t="s">
        <v>346</v>
      </c>
      <c r="M72" s="82">
        <v>10</v>
      </c>
      <c r="N72" s="82">
        <v>10</v>
      </c>
      <c r="O72" s="40">
        <f>AVERAGE(B72,C72,D72,E72,F72,G72,H72,I72,J72,K72)</f>
        <v>41.499999999999993</v>
      </c>
      <c r="P72" s="40">
        <f>STDEV(B72,C72,D72,E72,F72,G72,H72,I72,J72,K72)</f>
        <v>6.1949800466005005</v>
      </c>
      <c r="Q72" s="40">
        <f>P72/SQRT(N72)</f>
        <v>1.9590247006553627</v>
      </c>
      <c r="R72" s="40">
        <f>TINV(0.05,N72-1)*Q72</f>
        <v>4.4316217586861386</v>
      </c>
      <c r="S72" s="83" t="str">
        <f>ROUND(O72,3)&amp;" ± "&amp;ROUND(R72,3)&amp;" Ω"</f>
        <v>41,5 ± 4,432 Ω</v>
      </c>
      <c r="T72" s="41">
        <f>IF(O72&lt;&gt;0,P72/ABS(O72)*100,0)</f>
        <v>14.927662762892774</v>
      </c>
    </row>
    <row r="73" spans="1:20" ht="15" customHeight="1" x14ac:dyDescent="0.2">
      <c r="A73" s="37" t="s">
        <v>299</v>
      </c>
      <c r="B73" s="39">
        <v>66.400000000000006</v>
      </c>
      <c r="C73" s="39">
        <v>68.400000000000006</v>
      </c>
      <c r="D73" s="39">
        <v>56.3</v>
      </c>
      <c r="E73" s="39">
        <v>78.7</v>
      </c>
      <c r="F73" s="39">
        <v>85.3</v>
      </c>
      <c r="G73" s="39">
        <v>63.9</v>
      </c>
      <c r="H73" s="39">
        <v>92.8</v>
      </c>
      <c r="I73" s="39">
        <v>86.3</v>
      </c>
      <c r="J73" s="39">
        <v>86.2</v>
      </c>
      <c r="K73" s="39">
        <v>89.3</v>
      </c>
      <c r="L73" s="82" t="s">
        <v>347</v>
      </c>
      <c r="M73" s="82">
        <v>10</v>
      </c>
      <c r="N73" s="82">
        <v>10</v>
      </c>
      <c r="O73" s="40">
        <f>AVERAGE(B73,C73,D73,E73,F73,G73,H73,I73,J73,K73)</f>
        <v>77.36</v>
      </c>
      <c r="P73" s="40">
        <f>STDEV(B73,C73,D73,E73,F73,G73,H73,I73,J73,K73)</f>
        <v>12.600546725351919</v>
      </c>
      <c r="Q73" s="40">
        <f>P73/SQRT(N73)</f>
        <v>3.9846427415488197</v>
      </c>
      <c r="R73" s="40">
        <f>TINV(0.05,N73-1)*Q73</f>
        <v>9.0138881189865412</v>
      </c>
      <c r="S73" s="83" t="str">
        <f>ROUND(O73,3)&amp;" ± "&amp;ROUND(R73,3)&amp;" Ω"</f>
        <v>77,36 ± 9,014 Ω</v>
      </c>
      <c r="T73" s="41">
        <f>IF(O73&lt;&gt;0,P73/ABS(O73)*100,0)</f>
        <v>16.288193802161217</v>
      </c>
    </row>
    <row r="74" spans="1:20" ht="15" customHeight="1" x14ac:dyDescent="0.2">
      <c r="A74" s="37" t="s">
        <v>301</v>
      </c>
      <c r="B74" s="39">
        <v>66.5</v>
      </c>
      <c r="C74" s="39">
        <v>63.5</v>
      </c>
      <c r="D74" s="39">
        <v>69.7</v>
      </c>
      <c r="E74" s="39">
        <v>82.2</v>
      </c>
      <c r="F74" s="39">
        <v>120.3</v>
      </c>
      <c r="G74" s="39">
        <v>63.9</v>
      </c>
      <c r="H74" s="39">
        <v>65.8</v>
      </c>
      <c r="I74" s="39">
        <v>67.2</v>
      </c>
      <c r="J74" s="39">
        <v>69.11</v>
      </c>
      <c r="K74" s="39">
        <v>67.5</v>
      </c>
      <c r="L74" s="84" t="s">
        <v>348</v>
      </c>
      <c r="M74" s="82">
        <v>10</v>
      </c>
      <c r="N74" s="82">
        <v>8</v>
      </c>
      <c r="O74" s="40">
        <f>AVERAGE(B74,C74,D74,G74,H74,I74,J74,K74)</f>
        <v>66.651250000000005</v>
      </c>
      <c r="P74" s="40">
        <f>STDEV(B74,C74,D74,G74,H74,I74,J74,K74)</f>
        <v>2.2235456723761855</v>
      </c>
      <c r="Q74" s="40">
        <f>P74/SQRT(N74)</f>
        <v>0.78614211160760095</v>
      </c>
      <c r="R74" s="40">
        <f>TINV(0.05,N74-1)*Q74</f>
        <v>1.8589307023056949</v>
      </c>
      <c r="S74" s="83" t="str">
        <f>ROUND(O74,3)&amp;" ± "&amp;ROUND(R74,3)&amp;" Ω"</f>
        <v>66,651 ± 1,859 Ω</v>
      </c>
      <c r="T74" s="41">
        <f>IF(O74&lt;&gt;0,P74/ABS(O74)*100,0)</f>
        <v>3.3360899793720074</v>
      </c>
    </row>
    <row r="75" spans="1:20" s="148" customFormat="1" ht="15" customHeight="1" x14ac:dyDescent="0.2">
      <c r="A75" s="142"/>
      <c r="B75" s="143"/>
      <c r="C75" s="143"/>
      <c r="D75" s="143"/>
      <c r="E75" s="143"/>
      <c r="F75" s="143"/>
      <c r="G75" s="143"/>
      <c r="H75" s="143"/>
      <c r="I75" s="143"/>
      <c r="J75" s="143"/>
      <c r="K75" s="143"/>
      <c r="L75" s="144"/>
      <c r="M75" s="145"/>
      <c r="N75" s="145"/>
      <c r="O75" s="146"/>
      <c r="P75" s="146"/>
      <c r="Q75" s="146"/>
      <c r="R75" s="146"/>
      <c r="S75" s="147"/>
      <c r="T75" s="146"/>
    </row>
    <row r="76" spans="1:20" ht="22" customHeight="1" x14ac:dyDescent="0.2">
      <c r="A76" s="163" t="s">
        <v>349</v>
      </c>
      <c r="B76" s="164"/>
      <c r="C76" s="164"/>
      <c r="D76" s="164"/>
      <c r="E76" s="164"/>
      <c r="F76" s="164"/>
      <c r="G76" s="164"/>
      <c r="H76" s="164"/>
      <c r="I76" s="164"/>
      <c r="J76" s="164"/>
      <c r="K76" s="164"/>
      <c r="L76" s="164"/>
      <c r="M76" s="164"/>
      <c r="N76" s="164"/>
      <c r="O76" s="164"/>
      <c r="P76" s="164"/>
      <c r="Q76" s="164"/>
      <c r="R76" s="164"/>
      <c r="S76" s="164"/>
      <c r="T76" s="164"/>
    </row>
    <row r="77" spans="1:20" ht="15" customHeight="1" x14ac:dyDescent="0.2">
      <c r="A77" s="37" t="s">
        <v>295</v>
      </c>
      <c r="B77" s="39">
        <v>92.7</v>
      </c>
      <c r="C77" s="39">
        <v>89.5</v>
      </c>
      <c r="D77" s="39">
        <v>93.5</v>
      </c>
      <c r="E77" s="39">
        <v>97.9</v>
      </c>
      <c r="F77" s="39">
        <v>89</v>
      </c>
      <c r="G77" s="39">
        <v>89</v>
      </c>
      <c r="H77" s="39">
        <v>98.2</v>
      </c>
      <c r="I77" s="39">
        <v>94.1</v>
      </c>
      <c r="J77" s="39">
        <v>87.8</v>
      </c>
      <c r="K77" s="39">
        <v>92.8</v>
      </c>
      <c r="L77" s="82" t="s">
        <v>350</v>
      </c>
      <c r="M77" s="82">
        <v>10</v>
      </c>
      <c r="N77" s="82">
        <v>10</v>
      </c>
      <c r="O77" s="40">
        <f>AVERAGE(B77,C77,D77,E77,F77,G77,H77,I77,J77,K77)</f>
        <v>92.45</v>
      </c>
      <c r="P77" s="40">
        <f>STDEV(B77,C77,D77,E77,F77,G77,H77,I77,J77,K77)</f>
        <v>3.6652269900906411</v>
      </c>
      <c r="Q77" s="40">
        <f t="shared" ref="Q77:Q82" si="0">P77/SQRT(N77)</f>
        <v>1.1590465430209824</v>
      </c>
      <c r="R77" s="40">
        <f t="shared" ref="R77:R82" si="1">TINV(0.05,N77-1)*Q77</f>
        <v>2.6219454393114137</v>
      </c>
      <c r="S77" s="83" t="str">
        <f t="shared" ref="S77:S82" si="2">ROUND(O77,3)&amp;" ± "&amp;ROUND(R77,3)&amp;" Ω"</f>
        <v>92,45 ± 2,622 Ω</v>
      </c>
      <c r="T77" s="41">
        <f t="shared" ref="T77:T82" si="3">IF(O77&lt;&gt;0,P77/ABS(O77)*100,0)</f>
        <v>3.9645505571559125</v>
      </c>
    </row>
    <row r="78" spans="1:20" ht="15" customHeight="1" x14ac:dyDescent="0.2">
      <c r="A78" s="37" t="s">
        <v>297</v>
      </c>
      <c r="B78" s="39">
        <v>121.5</v>
      </c>
      <c r="C78" s="39">
        <v>121.5</v>
      </c>
      <c r="D78" s="39">
        <v>126</v>
      </c>
      <c r="E78" s="39">
        <v>112.2</v>
      </c>
      <c r="F78" s="39">
        <v>113.4</v>
      </c>
      <c r="G78" s="39">
        <v>120.9</v>
      </c>
      <c r="H78" s="39">
        <v>118</v>
      </c>
      <c r="I78" s="39">
        <v>126.5</v>
      </c>
      <c r="J78" s="39">
        <v>118.6</v>
      </c>
      <c r="K78" s="39">
        <v>115.3</v>
      </c>
      <c r="L78" s="82" t="s">
        <v>351</v>
      </c>
      <c r="M78" s="82">
        <v>10</v>
      </c>
      <c r="N78" s="82">
        <v>10</v>
      </c>
      <c r="O78" s="40">
        <f>AVERAGE(B78,C78,D78,E78,F78,G78,H78,I78,J78,K78)</f>
        <v>119.38999999999999</v>
      </c>
      <c r="P78" s="40">
        <f>STDEV(B78,C78,D78,E78,F78,G78,H78,I78,J78,K78)</f>
        <v>4.8567135664630934</v>
      </c>
      <c r="Q78" s="40">
        <f t="shared" si="0"/>
        <v>1.5358276813062934</v>
      </c>
      <c r="R78" s="40">
        <f t="shared" si="1"/>
        <v>3.4742835900907911</v>
      </c>
      <c r="S78" s="83" t="str">
        <f t="shared" si="2"/>
        <v>119,39 ± 3,474 Ω</v>
      </c>
      <c r="T78" s="41">
        <f t="shared" si="3"/>
        <v>4.0679400003878836</v>
      </c>
    </row>
    <row r="79" spans="1:20" ht="15" customHeight="1" x14ac:dyDescent="0.2">
      <c r="A79" s="37" t="s">
        <v>299</v>
      </c>
      <c r="B79" s="39">
        <v>142.19999999999999</v>
      </c>
      <c r="C79" s="39">
        <v>140.5</v>
      </c>
      <c r="D79" s="39">
        <v>140.80000000000001</v>
      </c>
      <c r="E79" s="39">
        <v>139.30000000000001</v>
      </c>
      <c r="F79" s="39">
        <v>140.19999999999999</v>
      </c>
      <c r="G79" s="39">
        <v>140.80000000000001</v>
      </c>
      <c r="H79" s="39">
        <v>139.6</v>
      </c>
      <c r="I79" s="39">
        <v>141.1</v>
      </c>
      <c r="J79" s="39">
        <v>140</v>
      </c>
      <c r="K79" s="39">
        <v>140.30000000000001</v>
      </c>
      <c r="L79" s="82" t="s">
        <v>352</v>
      </c>
      <c r="M79" s="82">
        <v>10</v>
      </c>
      <c r="N79" s="82">
        <v>10</v>
      </c>
      <c r="O79" s="40">
        <f>AVERAGE(B79,C79,D79,E79,F79,G79,H79,I79,J79,K79)</f>
        <v>140.47999999999999</v>
      </c>
      <c r="P79" s="40">
        <f>STDEV(B79,C79,D79,E79,F79,G79,H79,I79,J79,K79)</f>
        <v>0.82029804881450474</v>
      </c>
      <c r="Q79" s="40">
        <f t="shared" si="0"/>
        <v>0.25940101944458188</v>
      </c>
      <c r="R79" s="40">
        <f t="shared" si="1"/>
        <v>0.58680587417371743</v>
      </c>
      <c r="S79" s="83" t="str">
        <f t="shared" si="2"/>
        <v>140,48 ± 0,587 Ω</v>
      </c>
      <c r="T79" s="41">
        <f t="shared" si="3"/>
        <v>0.58392514864358258</v>
      </c>
    </row>
    <row r="80" spans="1:20" ht="15" customHeight="1" x14ac:dyDescent="0.2">
      <c r="A80" s="37" t="s">
        <v>301</v>
      </c>
      <c r="B80" s="39">
        <v>183</v>
      </c>
      <c r="C80" s="39">
        <v>181.2</v>
      </c>
      <c r="D80" s="39">
        <v>195.4</v>
      </c>
      <c r="E80" s="39">
        <v>184.6</v>
      </c>
      <c r="F80" s="39">
        <v>178.5</v>
      </c>
      <c r="G80" s="39">
        <v>189.4</v>
      </c>
      <c r="H80" s="39">
        <v>177.6</v>
      </c>
      <c r="I80" s="39">
        <v>185.8</v>
      </c>
      <c r="J80" s="39">
        <v>173.2</v>
      </c>
      <c r="K80" s="39">
        <v>183.5</v>
      </c>
      <c r="L80" s="82" t="s">
        <v>353</v>
      </c>
      <c r="M80" s="82">
        <v>10</v>
      </c>
      <c r="N80" s="82">
        <v>10</v>
      </c>
      <c r="O80" s="40">
        <f>AVERAGE(B80,C80,D80,G80,H80,I80,J80,K80)</f>
        <v>183.63750000000002</v>
      </c>
      <c r="P80" s="40">
        <f>STDEV(B80,C80,D80,G80,H80,I80,J80,K80)</f>
        <v>6.8452146997529866</v>
      </c>
      <c r="Q80" s="40">
        <f t="shared" si="0"/>
        <v>2.164646952408507</v>
      </c>
      <c r="R80" s="40">
        <f t="shared" si="1"/>
        <v>4.8967716083202104</v>
      </c>
      <c r="S80" s="83" t="str">
        <f t="shared" si="2"/>
        <v>183,638 ± 4,897 Ω</v>
      </c>
      <c r="T80" s="41">
        <f t="shared" si="3"/>
        <v>3.7275690965913744</v>
      </c>
    </row>
    <row r="81" spans="1:20" ht="15" customHeight="1" x14ac:dyDescent="0.2">
      <c r="A81" s="37" t="s">
        <v>354</v>
      </c>
      <c r="B81" s="39">
        <v>77.599999999999994</v>
      </c>
      <c r="C81" s="39">
        <v>85</v>
      </c>
      <c r="D81" s="39">
        <v>81</v>
      </c>
      <c r="E81" s="39">
        <v>80.3</v>
      </c>
      <c r="F81" s="39">
        <v>79.2</v>
      </c>
      <c r="G81" s="39">
        <v>78.099999999999994</v>
      </c>
      <c r="H81" s="39">
        <v>78.099999999999994</v>
      </c>
      <c r="I81" s="39">
        <v>77.3</v>
      </c>
      <c r="J81" s="39">
        <v>76.900000000000006</v>
      </c>
      <c r="K81" s="39">
        <v>76.5</v>
      </c>
      <c r="L81" s="84" t="s">
        <v>355</v>
      </c>
      <c r="M81" s="82">
        <v>10</v>
      </c>
      <c r="N81" s="82">
        <v>9</v>
      </c>
      <c r="O81" s="40">
        <f>AVERAGE(B81,D81,E81,F81,G81,H81,I81,J81,K81)</f>
        <v>78.333333333333314</v>
      </c>
      <c r="P81" s="40">
        <f>STDEV(B81,D81,E81,F81,G81,H81,I81,J81,K81)</f>
        <v>1.5354152532784087</v>
      </c>
      <c r="Q81" s="40">
        <f t="shared" si="0"/>
        <v>0.51180508442613626</v>
      </c>
      <c r="R81" s="40">
        <f t="shared" si="1"/>
        <v>1.180224641105188</v>
      </c>
      <c r="S81" s="83" t="str">
        <f t="shared" si="2"/>
        <v>78,333 ± 1,18 Ω</v>
      </c>
      <c r="T81" s="41">
        <f t="shared" si="3"/>
        <v>1.9601045786532882</v>
      </c>
    </row>
    <row r="82" spans="1:20" ht="15" customHeight="1" x14ac:dyDescent="0.2">
      <c r="A82" s="37" t="s">
        <v>356</v>
      </c>
      <c r="B82" s="39">
        <v>84.4</v>
      </c>
      <c r="C82" s="39">
        <v>85.2</v>
      </c>
      <c r="D82" s="39">
        <v>84.4</v>
      </c>
      <c r="E82" s="39">
        <v>84.3</v>
      </c>
      <c r="F82" s="39">
        <v>83.7</v>
      </c>
      <c r="G82" s="39">
        <v>82.5</v>
      </c>
      <c r="H82" s="39">
        <v>82.7</v>
      </c>
      <c r="I82" s="39">
        <v>80</v>
      </c>
      <c r="J82" s="39">
        <v>79.400000000000006</v>
      </c>
      <c r="K82" s="39">
        <v>80.3</v>
      </c>
      <c r="L82" s="82" t="s">
        <v>350</v>
      </c>
      <c r="M82" s="82">
        <v>10</v>
      </c>
      <c r="N82" s="82">
        <v>10</v>
      </c>
      <c r="O82" s="40">
        <f>AVERAGE(B82,C82,D82,G82,H82,I82,J82,K82)</f>
        <v>82.362499999999997</v>
      </c>
      <c r="P82" s="40">
        <f>STDEV(B82,C82,D82,G82,H82,I82,J82,K82)</f>
        <v>2.2392202086568327</v>
      </c>
      <c r="Q82" s="40">
        <f t="shared" si="0"/>
        <v>0.70810360420330787</v>
      </c>
      <c r="R82" s="40">
        <f t="shared" si="1"/>
        <v>1.6018416402517384</v>
      </c>
      <c r="S82" s="83" t="str">
        <f t="shared" si="2"/>
        <v>82,363 ± 1,602 Ω</v>
      </c>
      <c r="T82" s="41">
        <f t="shared" si="3"/>
        <v>2.7187375427613696</v>
      </c>
    </row>
    <row r="83" spans="1:20" s="148" customFormat="1" ht="15" customHeight="1" x14ac:dyDescent="0.2">
      <c r="A83" s="142"/>
      <c r="B83" s="143"/>
      <c r="C83" s="143"/>
      <c r="D83" s="143"/>
      <c r="E83" s="143"/>
      <c r="F83" s="143"/>
      <c r="G83" s="143"/>
      <c r="H83" s="143"/>
      <c r="I83" s="143"/>
      <c r="J83" s="143"/>
      <c r="K83" s="143"/>
      <c r="L83" s="144"/>
      <c r="M83" s="145"/>
      <c r="N83" s="145"/>
      <c r="O83" s="146"/>
      <c r="P83" s="146"/>
      <c r="Q83" s="146"/>
      <c r="R83" s="146"/>
      <c r="S83" s="147"/>
      <c r="T83" s="146"/>
    </row>
    <row r="84" spans="1:20" ht="22" customHeight="1" x14ac:dyDescent="0.2">
      <c r="A84" s="163" t="s">
        <v>357</v>
      </c>
      <c r="B84" s="164"/>
      <c r="C84" s="164"/>
      <c r="D84" s="164"/>
      <c r="E84" s="164"/>
      <c r="F84" s="164"/>
      <c r="G84" s="164"/>
      <c r="H84" s="164"/>
      <c r="I84" s="164"/>
      <c r="J84" s="164"/>
      <c r="K84" s="164"/>
      <c r="L84" s="164"/>
      <c r="M84" s="164"/>
      <c r="N84" s="164"/>
      <c r="O84" s="164"/>
      <c r="P84" s="164"/>
      <c r="Q84" s="164"/>
      <c r="R84" s="164"/>
      <c r="S84" s="164"/>
      <c r="T84" s="164"/>
    </row>
    <row r="85" spans="1:20" ht="15" customHeight="1" x14ac:dyDescent="0.2">
      <c r="A85" s="37" t="s">
        <v>295</v>
      </c>
      <c r="B85" s="39">
        <v>30.8</v>
      </c>
      <c r="C85" s="39">
        <v>33</v>
      </c>
      <c r="D85" s="39">
        <v>33.799999999999997</v>
      </c>
      <c r="E85" s="39">
        <v>33</v>
      </c>
      <c r="F85" s="39">
        <v>32.6</v>
      </c>
      <c r="G85" s="39">
        <v>32.299999999999997</v>
      </c>
      <c r="H85" s="39">
        <v>30.6</v>
      </c>
      <c r="I85" s="39">
        <v>31.7</v>
      </c>
      <c r="J85" s="39">
        <v>32.1</v>
      </c>
      <c r="K85" s="42"/>
      <c r="L85" s="82" t="s">
        <v>358</v>
      </c>
      <c r="M85" s="82">
        <v>10</v>
      </c>
      <c r="N85" s="82">
        <v>9</v>
      </c>
      <c r="O85" s="40">
        <f>AVERAGE(B85,C85,D85,E85,F85,G85,H85,I85,J85,K85)</f>
        <v>32.211111111111116</v>
      </c>
      <c r="P85" s="40">
        <f>STDEV(B85,C85,D85,E85,F85,G85,H85,I85,J85,K85)</f>
        <v>1.0481465122353408</v>
      </c>
      <c r="Q85" s="40">
        <f t="shared" ref="Q85:Q90" si="4">P85/SQRT(N85)</f>
        <v>0.34938217074511363</v>
      </c>
      <c r="R85" s="40">
        <f t="shared" ref="R85:R90" si="5">TINV(0.05,N85-1)*Q85</f>
        <v>0.80567673050484045</v>
      </c>
      <c r="S85" s="83" t="str">
        <f t="shared" ref="S85:S90" si="6">ROUND(O85,3)&amp;" ± "&amp;ROUND(R85,3)&amp;" Ω"</f>
        <v>32,211 ± 0,806 Ω</v>
      </c>
      <c r="T85" s="41">
        <f t="shared" ref="T85:T90" si="7">IF(O85&lt;&gt;0,P85/ABS(O85)*100,0)</f>
        <v>3.2539905519551797</v>
      </c>
    </row>
    <row r="86" spans="1:20" ht="15" customHeight="1" x14ac:dyDescent="0.2">
      <c r="A86" s="37" t="s">
        <v>297</v>
      </c>
      <c r="B86" s="39">
        <v>35.799999999999997</v>
      </c>
      <c r="C86" s="39">
        <v>35.1</v>
      </c>
      <c r="D86" s="39">
        <v>32.9</v>
      </c>
      <c r="E86" s="39">
        <v>35</v>
      </c>
      <c r="F86" s="39">
        <v>34.299999999999997</v>
      </c>
      <c r="G86" s="39">
        <v>34</v>
      </c>
      <c r="H86" s="39">
        <v>35.299999999999997</v>
      </c>
      <c r="I86" s="39">
        <v>35.799999999999997</v>
      </c>
      <c r="J86" s="39">
        <v>35.700000000000003</v>
      </c>
      <c r="K86" s="39">
        <v>33.9</v>
      </c>
      <c r="L86" s="82" t="s">
        <v>359</v>
      </c>
      <c r="M86" s="82">
        <v>10</v>
      </c>
      <c r="N86" s="82">
        <v>10</v>
      </c>
      <c r="O86" s="40">
        <f>AVERAGE(B86,C86,D86,E86,F86,G86,H86,I86,J86,K86)</f>
        <v>34.78</v>
      </c>
      <c r="P86" s="40">
        <f>STDEV(B86,C86,D86,E86,F86,G86,H86,I86,J86,K86)</f>
        <v>0.97159662411928971</v>
      </c>
      <c r="Q86" s="40">
        <f t="shared" si="4"/>
        <v>0.30724582991474436</v>
      </c>
      <c r="R86" s="40">
        <f t="shared" si="5"/>
        <v>0.69503835488151811</v>
      </c>
      <c r="S86" s="83" t="str">
        <f t="shared" si="6"/>
        <v>34,78 ± 0,695 Ω</v>
      </c>
      <c r="T86" s="41">
        <f t="shared" si="7"/>
        <v>2.7935498105787513</v>
      </c>
    </row>
    <row r="87" spans="1:20" ht="15" customHeight="1" x14ac:dyDescent="0.2">
      <c r="A87" s="37" t="s">
        <v>299</v>
      </c>
      <c r="B87" s="39">
        <v>36.200000000000003</v>
      </c>
      <c r="C87" s="39">
        <v>37.299999999999997</v>
      </c>
      <c r="D87" s="39">
        <v>38.299999999999997</v>
      </c>
      <c r="E87" s="39">
        <v>36</v>
      </c>
      <c r="F87" s="39">
        <v>36.4</v>
      </c>
      <c r="G87" s="39">
        <v>34.9</v>
      </c>
      <c r="H87" s="39">
        <v>34.799999999999997</v>
      </c>
      <c r="I87" s="39">
        <v>38.1</v>
      </c>
      <c r="J87" s="39">
        <v>39</v>
      </c>
      <c r="K87" s="39">
        <v>36.700000000000003</v>
      </c>
      <c r="L87" s="82" t="s">
        <v>360</v>
      </c>
      <c r="M87" s="82">
        <v>9</v>
      </c>
      <c r="N87" s="82">
        <v>10</v>
      </c>
      <c r="O87" s="40">
        <f>AVERAGE(B87,C87,D87,E87,F87,G87,H87,I87,J87,K87)</f>
        <v>36.770000000000003</v>
      </c>
      <c r="P87" s="40">
        <f>STDEV(B87,C87,D87,E87,F87,G87,H87,I87,J87,K87)</f>
        <v>1.4063743772157147</v>
      </c>
      <c r="Q87" s="40">
        <f t="shared" si="4"/>
        <v>0.44473462749024717</v>
      </c>
      <c r="R87" s="40">
        <f t="shared" si="5"/>
        <v>1.0060596231214542</v>
      </c>
      <c r="S87" s="83" t="str">
        <f t="shared" si="6"/>
        <v>36,77 ± 1,006 Ω</v>
      </c>
      <c r="T87" s="41">
        <f t="shared" si="7"/>
        <v>3.8247875366214696</v>
      </c>
    </row>
    <row r="88" spans="1:20" ht="15" customHeight="1" x14ac:dyDescent="0.2">
      <c r="A88" s="37" t="s">
        <v>301</v>
      </c>
      <c r="B88" s="39">
        <v>39.4</v>
      </c>
      <c r="C88" s="39">
        <v>38.700000000000003</v>
      </c>
      <c r="D88" s="39">
        <v>37.5</v>
      </c>
      <c r="E88" s="39">
        <v>38.700000000000003</v>
      </c>
      <c r="F88" s="39">
        <v>40.1</v>
      </c>
      <c r="G88" s="39">
        <v>38.200000000000003</v>
      </c>
      <c r="H88" s="39">
        <v>40.1</v>
      </c>
      <c r="I88" s="39">
        <v>35.1</v>
      </c>
      <c r="J88" s="39">
        <v>39.200000000000003</v>
      </c>
      <c r="K88" s="39">
        <v>38.200000000000003</v>
      </c>
      <c r="L88" s="84" t="s">
        <v>361</v>
      </c>
      <c r="M88" s="82">
        <v>10</v>
      </c>
      <c r="N88" s="82">
        <v>9</v>
      </c>
      <c r="O88" s="40">
        <f>AVERAGE(B88,C88,D88,E88,F88,G88,H88,J88,K88)</f>
        <v>38.900000000000006</v>
      </c>
      <c r="P88" s="40">
        <f>STDEV(B88,C88,D88,E88,F88,G88,H88,J88,K88)</f>
        <v>0.88317608663278435</v>
      </c>
      <c r="Q88" s="40">
        <f t="shared" si="4"/>
        <v>0.2943920288775948</v>
      </c>
      <c r="R88" s="40">
        <f t="shared" si="5"/>
        <v>0.67886923596287818</v>
      </c>
      <c r="S88" s="83" t="str">
        <f t="shared" si="6"/>
        <v>38,9 ± 0,679 Ω</v>
      </c>
      <c r="T88" s="41">
        <f t="shared" si="7"/>
        <v>2.270375544043147</v>
      </c>
    </row>
    <row r="89" spans="1:20" ht="15" customHeight="1" x14ac:dyDescent="0.2">
      <c r="A89" s="37" t="s">
        <v>354</v>
      </c>
      <c r="B89" s="39">
        <v>28.5</v>
      </c>
      <c r="C89" s="39">
        <v>29</v>
      </c>
      <c r="D89" s="39">
        <v>27.7</v>
      </c>
      <c r="E89" s="39">
        <v>29.2</v>
      </c>
      <c r="F89" s="39">
        <v>26.4</v>
      </c>
      <c r="G89" s="39">
        <v>25.8</v>
      </c>
      <c r="H89" s="39">
        <v>27</v>
      </c>
      <c r="I89" s="39">
        <v>27.1</v>
      </c>
      <c r="J89" s="39">
        <v>26.9</v>
      </c>
      <c r="K89" s="39">
        <v>26.1</v>
      </c>
      <c r="L89" s="82" t="s">
        <v>362</v>
      </c>
      <c r="M89" s="82">
        <v>10</v>
      </c>
      <c r="N89" s="82">
        <v>10</v>
      </c>
      <c r="O89" s="40">
        <f>AVERAGE(B89,C89,D89,G89,H89,I89,J89,K89)</f>
        <v>27.262499999999999</v>
      </c>
      <c r="P89" s="40">
        <f>STDEV(B89,C89,D89,G89,H89,I89,J89,K89)</f>
        <v>1.0992692377861104</v>
      </c>
      <c r="Q89" s="40">
        <f t="shared" si="4"/>
        <v>0.34761945531613386</v>
      </c>
      <c r="R89" s="40">
        <f t="shared" si="5"/>
        <v>0.78636984077140293</v>
      </c>
      <c r="S89" s="83" t="str">
        <f t="shared" si="6"/>
        <v>27,263 ± 0,786 Ω</v>
      </c>
      <c r="T89" s="41">
        <f t="shared" si="7"/>
        <v>4.0321659341076952</v>
      </c>
    </row>
    <row r="90" spans="1:20" ht="15" customHeight="1" x14ac:dyDescent="0.2">
      <c r="A90" s="37" t="s">
        <v>356</v>
      </c>
      <c r="B90" s="39">
        <v>30.9</v>
      </c>
      <c r="C90" s="39">
        <v>29.6</v>
      </c>
      <c r="D90" s="39">
        <v>27.7</v>
      </c>
      <c r="E90" s="39">
        <v>29.7</v>
      </c>
      <c r="F90" s="39">
        <v>26.4</v>
      </c>
      <c r="G90" s="39">
        <v>25.8</v>
      </c>
      <c r="H90" s="39">
        <v>27</v>
      </c>
      <c r="I90" s="39">
        <v>27.1</v>
      </c>
      <c r="J90" s="39">
        <v>26.9</v>
      </c>
      <c r="K90" s="39">
        <v>26.1</v>
      </c>
      <c r="L90" s="82" t="s">
        <v>363</v>
      </c>
      <c r="M90" s="82">
        <v>10</v>
      </c>
      <c r="N90" s="82">
        <v>10</v>
      </c>
      <c r="O90" s="40">
        <f>AVERAGE(B90,C90,D90,G90,H90,I90,J90,K90)</f>
        <v>27.637499999999999</v>
      </c>
      <c r="P90" s="40">
        <f>STDEV(B90,C90,D90,G90,H90,I90,J90,K90)</f>
        <v>1.7516828643172988</v>
      </c>
      <c r="Q90" s="40">
        <f t="shared" si="4"/>
        <v>0.55393075895303523</v>
      </c>
      <c r="R90" s="40">
        <f t="shared" si="5"/>
        <v>1.2530784340598549</v>
      </c>
      <c r="S90" s="83" t="str">
        <f t="shared" si="6"/>
        <v>27,638 ± 1,253 Ω</v>
      </c>
      <c r="T90" s="41">
        <f t="shared" si="7"/>
        <v>6.3380655425320631</v>
      </c>
    </row>
    <row r="91" spans="1:20" s="148" customFormat="1" ht="15" customHeight="1" x14ac:dyDescent="0.2">
      <c r="A91" s="142"/>
      <c r="B91" s="143"/>
      <c r="C91" s="143"/>
      <c r="D91" s="143"/>
      <c r="E91" s="143"/>
      <c r="F91" s="143"/>
      <c r="G91" s="143"/>
      <c r="H91" s="143"/>
      <c r="I91" s="143"/>
      <c r="J91" s="143"/>
      <c r="K91" s="143"/>
      <c r="L91" s="144"/>
      <c r="M91" s="145"/>
      <c r="N91" s="145"/>
      <c r="O91" s="146"/>
      <c r="P91" s="146"/>
      <c r="Q91" s="146"/>
      <c r="R91" s="146"/>
      <c r="S91" s="147"/>
      <c r="T91" s="146"/>
    </row>
    <row r="92" spans="1:20" ht="22" customHeight="1" x14ac:dyDescent="0.2">
      <c r="A92" s="163" t="s">
        <v>364</v>
      </c>
      <c r="B92" s="164"/>
      <c r="C92" s="164"/>
      <c r="D92" s="164"/>
      <c r="E92" s="164"/>
      <c r="F92" s="164"/>
      <c r="G92" s="164"/>
      <c r="H92" s="164"/>
      <c r="I92" s="164"/>
      <c r="J92" s="164"/>
      <c r="K92" s="164"/>
      <c r="L92" s="164"/>
      <c r="M92" s="164"/>
      <c r="N92" s="164"/>
      <c r="O92" s="164"/>
      <c r="P92" s="164"/>
      <c r="Q92" s="164"/>
      <c r="R92" s="164"/>
      <c r="S92" s="164"/>
      <c r="T92" s="164"/>
    </row>
    <row r="93" spans="1:20" ht="15" customHeight="1" x14ac:dyDescent="0.2">
      <c r="A93" s="37" t="s">
        <v>295</v>
      </c>
      <c r="B93" s="39">
        <v>92.7</v>
      </c>
      <c r="C93" s="39">
        <v>89.5</v>
      </c>
      <c r="D93" s="39">
        <v>93.5</v>
      </c>
      <c r="E93" s="39">
        <v>97.9</v>
      </c>
      <c r="F93" s="39">
        <v>89</v>
      </c>
      <c r="G93" s="39">
        <v>89</v>
      </c>
      <c r="H93" s="39">
        <v>98.2</v>
      </c>
      <c r="I93" s="39">
        <v>94.1</v>
      </c>
      <c r="J93" s="39">
        <v>87.8</v>
      </c>
      <c r="K93" s="39">
        <v>92.8</v>
      </c>
      <c r="L93" s="82" t="s">
        <v>350</v>
      </c>
      <c r="M93" s="82">
        <v>10</v>
      </c>
      <c r="N93" s="82">
        <v>10</v>
      </c>
      <c r="O93" s="40">
        <f>AVERAGE(B93,C93,D93,E93,F93,G93,H93,I93,J93,K93)</f>
        <v>92.45</v>
      </c>
      <c r="P93" s="40">
        <f>STDEV(B93,C93,D93,E93,F93,G93,H93,I93,J93,K93)</f>
        <v>3.6652269900906411</v>
      </c>
      <c r="Q93" s="40">
        <f>P93/SQRT(N93)</f>
        <v>1.1590465430209824</v>
      </c>
      <c r="R93" s="40">
        <f>TINV(0.05,N93-1)*Q93</f>
        <v>2.6219454393114137</v>
      </c>
      <c r="S93" s="83" t="str">
        <f>ROUND(O93,3)&amp;" ± "&amp;ROUND(R93,3)&amp;" Ω"</f>
        <v>92,45 ± 2,622 Ω</v>
      </c>
      <c r="T93" s="41">
        <f>IF(O93&lt;&gt;0,P93/ABS(O93)*100,0)</f>
        <v>3.9645505571559125</v>
      </c>
    </row>
    <row r="94" spans="1:20" ht="15" customHeight="1" x14ac:dyDescent="0.2">
      <c r="A94" s="37" t="s">
        <v>297</v>
      </c>
      <c r="B94" s="39">
        <v>121.5</v>
      </c>
      <c r="C94" s="39">
        <v>121.5</v>
      </c>
      <c r="D94" s="39">
        <v>126</v>
      </c>
      <c r="E94" s="39">
        <v>112.2</v>
      </c>
      <c r="F94" s="39">
        <v>113.4</v>
      </c>
      <c r="G94" s="39">
        <v>120.9</v>
      </c>
      <c r="H94" s="39">
        <v>118</v>
      </c>
      <c r="I94" s="39">
        <v>126.5</v>
      </c>
      <c r="J94" s="39">
        <v>118.6</v>
      </c>
      <c r="K94" s="39">
        <v>115.3</v>
      </c>
      <c r="L94" s="82" t="s">
        <v>351</v>
      </c>
      <c r="M94" s="82">
        <v>10</v>
      </c>
      <c r="N94" s="82">
        <v>10</v>
      </c>
      <c r="O94" s="40">
        <f>AVERAGE(B94,C94,D94,E94,F94,G94,H94,I94,J94,K94)</f>
        <v>119.38999999999999</v>
      </c>
      <c r="P94" s="40">
        <f>STDEV(B94,C94,D94,E94,F94,G94,H94,I94,J94,K94)</f>
        <v>4.8567135664630934</v>
      </c>
      <c r="Q94" s="40">
        <f>P94/SQRT(N94)</f>
        <v>1.5358276813062934</v>
      </c>
      <c r="R94" s="40">
        <f>TINV(0.05,N94-1)*Q94</f>
        <v>3.4742835900907911</v>
      </c>
      <c r="S94" s="83" t="str">
        <f>ROUND(O94,3)&amp;" ± "&amp;ROUND(R94,3)&amp;" Ω"</f>
        <v>119,39 ± 3,474 Ω</v>
      </c>
      <c r="T94" s="41">
        <f>IF(O94&lt;&gt;0,P94/ABS(O94)*100,0)</f>
        <v>4.0679400003878836</v>
      </c>
    </row>
    <row r="95" spans="1:20" ht="15" customHeight="1" x14ac:dyDescent="0.2">
      <c r="A95" s="37" t="s">
        <v>299</v>
      </c>
      <c r="B95" s="39">
        <v>142.19999999999999</v>
      </c>
      <c r="C95" s="39">
        <v>140.5</v>
      </c>
      <c r="D95" s="39">
        <v>140.80000000000001</v>
      </c>
      <c r="E95" s="39">
        <v>139.30000000000001</v>
      </c>
      <c r="F95" s="39">
        <v>140.19999999999999</v>
      </c>
      <c r="G95" s="39">
        <v>140.80000000000001</v>
      </c>
      <c r="H95" s="39">
        <v>139.6</v>
      </c>
      <c r="I95" s="39">
        <v>141.1</v>
      </c>
      <c r="J95" s="39">
        <v>140</v>
      </c>
      <c r="K95" s="39">
        <v>141.19999999999999</v>
      </c>
      <c r="L95" s="82" t="s">
        <v>352</v>
      </c>
      <c r="M95" s="82">
        <v>10</v>
      </c>
      <c r="N95" s="82">
        <v>10</v>
      </c>
      <c r="O95" s="40">
        <f>AVERAGE(B95,C95,D95,E95,F95,G95,H95,I95,J95,K95)</f>
        <v>140.57</v>
      </c>
      <c r="P95" s="40">
        <f>STDEV(B95,C95,D95,E95,F95,G95,H95,I95,J95,K95)</f>
        <v>0.84728324006136368</v>
      </c>
      <c r="Q95" s="40">
        <f>P95/SQRT(N95)</f>
        <v>0.26793448618811322</v>
      </c>
      <c r="R95" s="40">
        <f>TINV(0.05,N95-1)*Q95</f>
        <v>0.60610991709109718</v>
      </c>
      <c r="S95" s="83" t="str">
        <f>ROUND(O95,3)&amp;" ± "&amp;ROUND(R95,3)&amp;" Ω"</f>
        <v>140,57 ± 0,606 Ω</v>
      </c>
      <c r="T95" s="41">
        <f>IF(O95&lt;&gt;0,P95/ABS(O95)*100,0)</f>
        <v>0.60274826781060231</v>
      </c>
    </row>
    <row r="96" spans="1:20" ht="15" customHeight="1" x14ac:dyDescent="0.2">
      <c r="A96" s="37" t="s">
        <v>301</v>
      </c>
      <c r="B96" s="39">
        <v>183</v>
      </c>
      <c r="C96" s="39">
        <v>181.2</v>
      </c>
      <c r="D96" s="39">
        <v>195.4</v>
      </c>
      <c r="E96" s="39">
        <v>184.6</v>
      </c>
      <c r="F96" s="39">
        <v>178.5</v>
      </c>
      <c r="G96" s="39">
        <v>189.4</v>
      </c>
      <c r="H96" s="39">
        <v>177.6</v>
      </c>
      <c r="I96" s="39">
        <v>185.8</v>
      </c>
      <c r="J96" s="39">
        <v>173.2</v>
      </c>
      <c r="K96" s="39">
        <v>183.5</v>
      </c>
      <c r="L96" s="82" t="s">
        <v>353</v>
      </c>
      <c r="M96" s="82">
        <v>10</v>
      </c>
      <c r="N96" s="82">
        <v>10</v>
      </c>
      <c r="O96" s="40">
        <f>AVERAGE(B96,C96,D96,G96,H96,I96,J96,K96)</f>
        <v>183.63750000000002</v>
      </c>
      <c r="P96" s="40">
        <f>STDEV(B96,C96,D96,G96,H96,I96,J96,K96)</f>
        <v>6.8452146997529866</v>
      </c>
      <c r="Q96" s="40">
        <f>P96/SQRT(N96)</f>
        <v>2.164646952408507</v>
      </c>
      <c r="R96" s="40">
        <f>TINV(0.05,N96-1)*Q96</f>
        <v>4.8967716083202104</v>
      </c>
      <c r="S96" s="83" t="str">
        <f>ROUND(O96,3)&amp;" ± "&amp;ROUND(R96,3)&amp;" Ω"</f>
        <v>183,638 ± 4,897 Ω</v>
      </c>
      <c r="T96" s="41">
        <f>IF(O96&lt;&gt;0,P96/ABS(O96)*100,0)</f>
        <v>3.7275690965913744</v>
      </c>
    </row>
    <row r="97" spans="1:20" s="148" customFormat="1" ht="15" customHeight="1" x14ac:dyDescent="0.2">
      <c r="A97" s="142"/>
      <c r="B97" s="143"/>
      <c r="C97" s="143"/>
      <c r="D97" s="143"/>
      <c r="E97" s="143"/>
      <c r="F97" s="143"/>
      <c r="G97" s="143"/>
      <c r="H97" s="143"/>
      <c r="I97" s="143"/>
      <c r="J97" s="143"/>
      <c r="K97" s="143"/>
      <c r="L97" s="144"/>
      <c r="M97" s="145"/>
      <c r="N97" s="145"/>
      <c r="O97" s="146"/>
      <c r="P97" s="146"/>
      <c r="Q97" s="146"/>
      <c r="R97" s="146"/>
      <c r="S97" s="147"/>
      <c r="T97" s="146"/>
    </row>
    <row r="98" spans="1:20" ht="22" customHeight="1" x14ac:dyDescent="0.2">
      <c r="A98" s="163" t="s">
        <v>365</v>
      </c>
      <c r="B98" s="164"/>
      <c r="C98" s="164"/>
      <c r="D98" s="164"/>
      <c r="E98" s="164"/>
      <c r="F98" s="164"/>
      <c r="G98" s="164"/>
      <c r="H98" s="164"/>
      <c r="I98" s="164"/>
      <c r="J98" s="164"/>
      <c r="K98" s="164"/>
      <c r="L98" s="164"/>
      <c r="M98" s="164"/>
      <c r="N98" s="164"/>
      <c r="O98" s="164"/>
      <c r="P98" s="164"/>
      <c r="Q98" s="164"/>
      <c r="R98" s="164"/>
      <c r="S98" s="164"/>
      <c r="T98" s="164"/>
    </row>
    <row r="99" spans="1:20" ht="15" customHeight="1" x14ac:dyDescent="0.2">
      <c r="A99" s="37" t="s">
        <v>295</v>
      </c>
      <c r="B99" s="39">
        <v>30.8</v>
      </c>
      <c r="C99" s="39">
        <v>33</v>
      </c>
      <c r="D99" s="39">
        <v>33.799999999999997</v>
      </c>
      <c r="E99" s="39">
        <v>33</v>
      </c>
      <c r="F99" s="39">
        <v>32.6</v>
      </c>
      <c r="G99" s="39">
        <v>32.299999999999997</v>
      </c>
      <c r="H99" s="39">
        <v>30.6</v>
      </c>
      <c r="I99" s="39">
        <v>31.7</v>
      </c>
      <c r="J99" s="39">
        <v>32.1</v>
      </c>
      <c r="K99" s="39">
        <v>32.4</v>
      </c>
      <c r="L99" s="82" t="s">
        <v>358</v>
      </c>
      <c r="M99" s="82">
        <v>10</v>
      </c>
      <c r="N99" s="82">
        <v>10</v>
      </c>
      <c r="O99" s="40">
        <f>AVERAGE(B99,C99,D99,E99,F99,G99,H99,I99,J99,K99)</f>
        <v>32.230000000000004</v>
      </c>
      <c r="P99" s="40">
        <f>STDEV(B99,C99,D99,E99,F99,G99,H99,I99,J99,K99)</f>
        <v>0.99000561165637313</v>
      </c>
      <c r="Q99" s="40">
        <f>P99/SQRT(N99)</f>
        <v>0.31306726291822806</v>
      </c>
      <c r="R99" s="40">
        <f>TINV(0.05,N99-1)*Q99</f>
        <v>0.70820735124809864</v>
      </c>
      <c r="S99" s="83" t="str">
        <f>ROUND(O99,3)&amp;" ± "&amp;ROUND(R99,3)&amp;" Ω"</f>
        <v>32,23 ± 0,708 Ω</v>
      </c>
      <c r="T99" s="41">
        <f>IF(O99&lt;&gt;0,P99/ABS(O99)*100,0)</f>
        <v>3.0716897662313776</v>
      </c>
    </row>
    <row r="100" spans="1:20" ht="15" customHeight="1" x14ac:dyDescent="0.2">
      <c r="A100" s="37" t="s">
        <v>297</v>
      </c>
      <c r="B100" s="39">
        <v>35.799999999999997</v>
      </c>
      <c r="C100" s="39">
        <v>35.1</v>
      </c>
      <c r="D100" s="39">
        <v>32.9</v>
      </c>
      <c r="E100" s="39">
        <v>35</v>
      </c>
      <c r="F100" s="39">
        <v>34.299999999999997</v>
      </c>
      <c r="G100" s="39">
        <v>34</v>
      </c>
      <c r="H100" s="39">
        <v>35.299999999999997</v>
      </c>
      <c r="I100" s="39">
        <v>35.799999999999997</v>
      </c>
      <c r="J100" s="39">
        <v>35.700000000000003</v>
      </c>
      <c r="K100" s="39">
        <v>33.9</v>
      </c>
      <c r="L100" s="82" t="s">
        <v>359</v>
      </c>
      <c r="M100" s="82">
        <v>10</v>
      </c>
      <c r="N100" s="82">
        <v>10</v>
      </c>
      <c r="O100" s="40">
        <f>AVERAGE(B100,C100,D100,E100,F100,G100,H100,I100,J100,K100)</f>
        <v>34.78</v>
      </c>
      <c r="P100" s="40">
        <f>STDEV(B100,C100,D100,E100,F100,G100,H100,I100,J100,K100)</f>
        <v>0.97159662411928971</v>
      </c>
      <c r="Q100" s="40">
        <f>P100/SQRT(N100)</f>
        <v>0.30724582991474436</v>
      </c>
      <c r="R100" s="40">
        <f>TINV(0.05,N100-1)*Q100</f>
        <v>0.69503835488151811</v>
      </c>
      <c r="S100" s="83" t="str">
        <f>ROUND(O100,3)&amp;" ± "&amp;ROUND(R100,3)&amp;" Ω"</f>
        <v>34,78 ± 0,695 Ω</v>
      </c>
      <c r="T100" s="41">
        <f>IF(O100&lt;&gt;0,P100/ABS(O100)*100,0)</f>
        <v>2.7935498105787513</v>
      </c>
    </row>
    <row r="101" spans="1:20" ht="15" customHeight="1" x14ac:dyDescent="0.2">
      <c r="A101" s="37" t="s">
        <v>299</v>
      </c>
      <c r="B101" s="39">
        <v>36.200000000000003</v>
      </c>
      <c r="C101" s="39">
        <v>37.299999999999997</v>
      </c>
      <c r="D101" s="39">
        <v>38.299999999999997</v>
      </c>
      <c r="E101" s="39">
        <v>36</v>
      </c>
      <c r="F101" s="39">
        <v>36.4</v>
      </c>
      <c r="G101" s="39">
        <v>34.9</v>
      </c>
      <c r="H101" s="39">
        <v>34.799999999999997</v>
      </c>
      <c r="I101" s="39">
        <v>38.1</v>
      </c>
      <c r="J101" s="39">
        <v>39</v>
      </c>
      <c r="K101" s="39">
        <v>36.700000000000003</v>
      </c>
      <c r="L101" s="82" t="s">
        <v>360</v>
      </c>
      <c r="M101" s="82">
        <v>10</v>
      </c>
      <c r="N101" s="82">
        <v>10</v>
      </c>
      <c r="O101" s="40">
        <f>AVERAGE(B101,C101,D101,E101,F101,G101,H101,I101,J101,K101)</f>
        <v>36.770000000000003</v>
      </c>
      <c r="P101" s="40">
        <f>STDEV(B101,C101,D101,E101,F101,G101,H101,I101,J101,K101)</f>
        <v>1.4063743772157147</v>
      </c>
      <c r="Q101" s="40">
        <f>P101/SQRT(N101)</f>
        <v>0.44473462749024717</v>
      </c>
      <c r="R101" s="40">
        <f>TINV(0.05,N101-1)*Q101</f>
        <v>1.0060596231214542</v>
      </c>
      <c r="S101" s="83" t="str">
        <f>ROUND(O101,3)&amp;" ± "&amp;ROUND(R101,3)&amp;" Ω"</f>
        <v>36,77 ± 1,006 Ω</v>
      </c>
      <c r="T101" s="41">
        <f>IF(O101&lt;&gt;0,P101/ABS(O101)*100,0)</f>
        <v>3.8247875366214696</v>
      </c>
    </row>
    <row r="102" spans="1:20" ht="15" customHeight="1" x14ac:dyDescent="0.2">
      <c r="A102" s="37" t="s">
        <v>301</v>
      </c>
      <c r="B102" s="39">
        <v>39.4</v>
      </c>
      <c r="C102" s="39">
        <v>38.700000000000003</v>
      </c>
      <c r="D102" s="39">
        <v>37.5</v>
      </c>
      <c r="E102" s="39">
        <v>38.700000000000003</v>
      </c>
      <c r="F102" s="39">
        <v>40.1</v>
      </c>
      <c r="G102" s="39">
        <v>38.200000000000003</v>
      </c>
      <c r="H102" s="39">
        <v>40.1</v>
      </c>
      <c r="I102" s="39">
        <v>35.1</v>
      </c>
      <c r="J102" s="39">
        <v>39.200000000000003</v>
      </c>
      <c r="K102" s="39">
        <v>38.200000000000003</v>
      </c>
      <c r="L102" s="84" t="s">
        <v>361</v>
      </c>
      <c r="M102" s="82">
        <v>10</v>
      </c>
      <c r="N102" s="82">
        <v>9</v>
      </c>
      <c r="O102" s="40">
        <f>AVERAGE(B102,C102,D102,E102,F102,G102,H102,J102,K102)</f>
        <v>38.900000000000006</v>
      </c>
      <c r="P102" s="40">
        <f>STDEV(B102,C102,D102,E102,F102,G102,H102,J102,K102)</f>
        <v>0.88317608663278435</v>
      </c>
      <c r="Q102" s="40">
        <f>P102/SQRT(N102)</f>
        <v>0.2943920288775948</v>
      </c>
      <c r="R102" s="40">
        <f>TINV(0.05,N102-1)*Q102</f>
        <v>0.67886923596287818</v>
      </c>
      <c r="S102" s="83" t="str">
        <f>ROUND(O102,3)&amp;" ± "&amp;ROUND(R102,3)&amp;" Ω"</f>
        <v>38,9 ± 0,679 Ω</v>
      </c>
      <c r="T102" s="41">
        <f>IF(O102&lt;&gt;0,P102/ABS(O102)*100,0)</f>
        <v>2.270375544043147</v>
      </c>
    </row>
    <row r="103" spans="1:20" s="148" customFormat="1" ht="15" customHeight="1" x14ac:dyDescent="0.2">
      <c r="A103" s="142"/>
      <c r="B103" s="143"/>
      <c r="C103" s="143"/>
      <c r="D103" s="143"/>
      <c r="E103" s="143"/>
      <c r="F103" s="143"/>
      <c r="G103" s="143"/>
      <c r="H103" s="143"/>
      <c r="I103" s="143"/>
      <c r="J103" s="143"/>
      <c r="K103" s="143"/>
      <c r="L103" s="144"/>
      <c r="M103" s="145"/>
      <c r="N103" s="145"/>
      <c r="O103" s="146"/>
      <c r="P103" s="146"/>
      <c r="Q103" s="146"/>
      <c r="R103" s="146"/>
      <c r="S103" s="147"/>
      <c r="T103" s="146"/>
    </row>
    <row r="104" spans="1:20" ht="22" customHeight="1" x14ac:dyDescent="0.2">
      <c r="A104" s="163" t="s">
        <v>366</v>
      </c>
      <c r="B104" s="164"/>
      <c r="C104" s="164"/>
      <c r="D104" s="164"/>
      <c r="E104" s="164"/>
      <c r="F104" s="164"/>
      <c r="G104" s="164"/>
      <c r="H104" s="164"/>
      <c r="I104" s="164"/>
      <c r="J104" s="164"/>
      <c r="K104" s="164"/>
      <c r="L104" s="164"/>
      <c r="M104" s="164"/>
      <c r="N104" s="164"/>
      <c r="O104" s="164"/>
      <c r="P104" s="164"/>
      <c r="Q104" s="164"/>
      <c r="R104" s="164"/>
      <c r="S104" s="164"/>
      <c r="T104" s="164"/>
    </row>
    <row r="105" spans="1:20" ht="15" customHeight="1" x14ac:dyDescent="0.2">
      <c r="A105" s="37" t="s">
        <v>293</v>
      </c>
      <c r="B105" s="39">
        <v>79.099999999999994</v>
      </c>
      <c r="C105" s="39">
        <v>77.400000000000006</v>
      </c>
      <c r="D105" s="39">
        <v>75.400000000000006</v>
      </c>
      <c r="E105" s="39">
        <v>74.3</v>
      </c>
      <c r="F105" s="39">
        <v>73.7</v>
      </c>
      <c r="G105" s="39">
        <v>72.7</v>
      </c>
      <c r="H105" s="39">
        <v>72.8</v>
      </c>
      <c r="I105" s="39">
        <v>71.400000000000006</v>
      </c>
      <c r="J105" s="39">
        <v>70.7</v>
      </c>
      <c r="K105" s="39">
        <v>69.5</v>
      </c>
      <c r="L105" s="82" t="s">
        <v>367</v>
      </c>
      <c r="M105" s="82">
        <v>10</v>
      </c>
      <c r="N105" s="82">
        <v>10</v>
      </c>
      <c r="O105" s="40">
        <f>AVERAGE(B105,C105,D105,E105,F105,G105,H105,I105,J105,K105)</f>
        <v>73.7</v>
      </c>
      <c r="P105" s="40">
        <f>STDEV(B105,C105,D105,E105,F105,G105,H105,I105,J105,K105)</f>
        <v>2.978441053825156</v>
      </c>
      <c r="Q105" s="40">
        <f>P105/SQRT(N105)</f>
        <v>0.94186576066396555</v>
      </c>
      <c r="R105" s="40">
        <f>TINV(0.05,N105-1)*Q105</f>
        <v>2.1306483768803699</v>
      </c>
      <c r="S105" s="83" t="str">
        <f>ROUND(O105,3)&amp;" ± "&amp;ROUND(R105,3)&amp;" Ω"</f>
        <v>73,7 ± 2,131 Ω</v>
      </c>
      <c r="T105" s="41">
        <f>IF(O105&lt;&gt;0,P105/ABS(O105)*100,0)</f>
        <v>4.0413040079038751</v>
      </c>
    </row>
    <row r="106" spans="1:20" ht="15" customHeight="1" x14ac:dyDescent="0.2">
      <c r="A106" s="37" t="s">
        <v>295</v>
      </c>
      <c r="B106" s="39">
        <v>93</v>
      </c>
      <c r="C106" s="39">
        <v>90.9</v>
      </c>
      <c r="D106" s="39">
        <v>89</v>
      </c>
      <c r="E106" s="39">
        <v>88.2</v>
      </c>
      <c r="F106" s="39">
        <v>87.4</v>
      </c>
      <c r="G106" s="39">
        <v>86.2</v>
      </c>
      <c r="H106" s="39">
        <v>85.5</v>
      </c>
      <c r="I106" s="39">
        <v>84.7</v>
      </c>
      <c r="J106" s="39">
        <v>83.4</v>
      </c>
      <c r="K106" s="39">
        <v>84.5</v>
      </c>
      <c r="L106" s="82" t="s">
        <v>368</v>
      </c>
      <c r="M106" s="82">
        <v>10</v>
      </c>
      <c r="N106" s="82">
        <v>10</v>
      </c>
      <c r="O106" s="40">
        <f>AVERAGE(B106,C106,D106,E106,F106,G106,H106,I106,J106,K106)</f>
        <v>87.28</v>
      </c>
      <c r="P106" s="40">
        <f>STDEV(B106,C106,D106,E106,F106,G106,H106,I106,J106,K106)</f>
        <v>3.0444120030712734</v>
      </c>
      <c r="Q106" s="40">
        <f>P106/SQRT(N106)</f>
        <v>0.96272760656607548</v>
      </c>
      <c r="R106" s="40">
        <f>TINV(0.05,N106-1)*Q106</f>
        <v>2.1778411510170201</v>
      </c>
      <c r="S106" s="83" t="str">
        <f>ROUND(O106,3)&amp;" ± "&amp;ROUND(R106,3)&amp;" Ω"</f>
        <v>87,28 ± 2,178 Ω</v>
      </c>
      <c r="T106" s="41">
        <f>IF(O106&lt;&gt;0,P106/ABS(O106)*100,0)</f>
        <v>3.4880980786792777</v>
      </c>
    </row>
    <row r="107" spans="1:20" ht="15" customHeight="1" x14ac:dyDescent="0.2">
      <c r="A107" s="37" t="s">
        <v>297</v>
      </c>
      <c r="B107" s="39">
        <v>106.3</v>
      </c>
      <c r="C107" s="39">
        <v>104.4</v>
      </c>
      <c r="D107" s="39">
        <v>101.9</v>
      </c>
      <c r="E107" s="39">
        <v>100.1</v>
      </c>
      <c r="F107" s="39">
        <v>98.3</v>
      </c>
      <c r="G107" s="39">
        <v>98</v>
      </c>
      <c r="H107" s="39">
        <v>96.3</v>
      </c>
      <c r="I107" s="39">
        <v>93.8</v>
      </c>
      <c r="J107" s="39">
        <v>94.2</v>
      </c>
      <c r="K107" s="39">
        <v>92.5</v>
      </c>
      <c r="L107" s="82" t="s">
        <v>369</v>
      </c>
      <c r="M107" s="82">
        <v>10</v>
      </c>
      <c r="N107" s="82">
        <v>10</v>
      </c>
      <c r="O107" s="40">
        <f>AVERAGE(B107,C107,D107,E107,F107,G107,H107,I107,J107,K107)</f>
        <v>98.58</v>
      </c>
      <c r="P107" s="40">
        <f>STDEV(B107,C107,D107,E107,F107,G107,H107,I107,J107,K107)</f>
        <v>4.6117723756105367</v>
      </c>
      <c r="Q107" s="40">
        <f>P107/SQRT(N107)</f>
        <v>1.4583704757174856</v>
      </c>
      <c r="R107" s="40">
        <f>TINV(0.05,N107-1)*Q107</f>
        <v>3.2990632176577361</v>
      </c>
      <c r="S107" s="83" t="str">
        <f>ROUND(O107,3)&amp;" ± "&amp;ROUND(R107,3)&amp;" Ω"</f>
        <v>98,58 ± 3,299 Ω</v>
      </c>
      <c r="T107" s="41">
        <f>IF(O107&lt;&gt;0,P107/ABS(O107)*100,0)</f>
        <v>4.6782028561681237</v>
      </c>
    </row>
    <row r="108" spans="1:20" ht="15" customHeight="1" x14ac:dyDescent="0.2">
      <c r="A108" s="37" t="s">
        <v>299</v>
      </c>
      <c r="B108" s="39">
        <v>116.1</v>
      </c>
      <c r="C108" s="39">
        <v>111.4</v>
      </c>
      <c r="D108" s="39">
        <v>109.2</v>
      </c>
      <c r="E108" s="39">
        <v>107.3</v>
      </c>
      <c r="F108" s="39">
        <v>105.6</v>
      </c>
      <c r="G108" s="39">
        <v>103.3</v>
      </c>
      <c r="H108" s="39">
        <v>103</v>
      </c>
      <c r="I108" s="39">
        <v>101.3</v>
      </c>
      <c r="J108" s="39">
        <v>100.7</v>
      </c>
      <c r="K108" s="39">
        <v>100.9</v>
      </c>
      <c r="L108" s="82" t="s">
        <v>370</v>
      </c>
      <c r="M108" s="82">
        <v>10</v>
      </c>
      <c r="N108" s="82">
        <v>10</v>
      </c>
      <c r="O108" s="40">
        <f>AVERAGE(B108,C108,D108,E108,F108,G108,H108,I108,J108,K108)</f>
        <v>105.88</v>
      </c>
      <c r="P108" s="40">
        <f>STDEV(B108,C108,D108,E108,F108,G108,H108,I108,J108,K108)</f>
        <v>5.1163789278486131</v>
      </c>
      <c r="Q108" s="40">
        <f>P108/SQRT(N108)</f>
        <v>1.6179410784491912</v>
      </c>
      <c r="R108" s="40">
        <f>TINV(0.05,N108-1)*Q108</f>
        <v>3.6600369995992912</v>
      </c>
      <c r="S108" s="83" t="str">
        <f>ROUND(O108,3)&amp;" ± "&amp;ROUND(R108,3)&amp;" Ω"</f>
        <v>105,88 ± 3,66 Ω</v>
      </c>
      <c r="T108" s="41">
        <f>IF(O108&lt;&gt;0,P108/ABS(O108)*100,0)</f>
        <v>4.832243037257852</v>
      </c>
    </row>
    <row r="109" spans="1:20" ht="15" customHeight="1" x14ac:dyDescent="0.2">
      <c r="A109" s="37" t="s">
        <v>301</v>
      </c>
      <c r="B109" s="39">
        <v>121.1</v>
      </c>
      <c r="C109" s="39">
        <v>116.8</v>
      </c>
      <c r="D109" s="39">
        <v>115</v>
      </c>
      <c r="E109" s="39">
        <v>112.3</v>
      </c>
      <c r="F109" s="39">
        <v>110.5</v>
      </c>
      <c r="G109" s="39">
        <v>108.4</v>
      </c>
      <c r="H109" s="39">
        <v>107.6</v>
      </c>
      <c r="I109" s="39">
        <v>106.5</v>
      </c>
      <c r="J109" s="39">
        <v>104.5</v>
      </c>
      <c r="K109" s="39">
        <v>104.1</v>
      </c>
      <c r="L109" s="82" t="s">
        <v>371</v>
      </c>
      <c r="M109" s="82">
        <v>10</v>
      </c>
      <c r="N109" s="82">
        <v>10</v>
      </c>
      <c r="O109" s="40">
        <f>AVERAGE(B109,C109,D109,E109,F109,G109,H109,I109,J109,K109)</f>
        <v>110.67999999999999</v>
      </c>
      <c r="P109" s="40">
        <f>STDEV(B109,C109,D109,E109,F109,G109,H109,I109,J109,K109)</f>
        <v>5.5876451012727859</v>
      </c>
      <c r="Q109" s="40">
        <f>P109/SQRT(N109)</f>
        <v>1.7669685276704212</v>
      </c>
      <c r="R109" s="40">
        <f>TINV(0.05,N109-1)*Q109</f>
        <v>3.9971605113086421</v>
      </c>
      <c r="S109" s="83" t="str">
        <f>ROUND(O109,3)&amp;" ± "&amp;ROUND(R109,3)&amp;" Ω"</f>
        <v>110,68 ± 3,997 Ω</v>
      </c>
      <c r="T109" s="41">
        <f>IF(O109&lt;&gt;0,P109/ABS(O109)*100,0)</f>
        <v>5.0484686495055895</v>
      </c>
    </row>
    <row r="110" spans="1:20" s="148" customFormat="1" ht="15" customHeight="1" x14ac:dyDescent="0.2">
      <c r="A110" s="142"/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4"/>
      <c r="M110" s="145"/>
      <c r="N110" s="145"/>
      <c r="O110" s="146"/>
      <c r="P110" s="146"/>
      <c r="Q110" s="146"/>
      <c r="R110" s="146"/>
      <c r="S110" s="147"/>
      <c r="T110" s="146"/>
    </row>
    <row r="111" spans="1:20" ht="22" customHeight="1" x14ac:dyDescent="0.2">
      <c r="A111" s="163" t="s">
        <v>372</v>
      </c>
      <c r="B111" s="164"/>
      <c r="C111" s="164"/>
      <c r="D111" s="164"/>
      <c r="E111" s="164"/>
      <c r="F111" s="164"/>
      <c r="G111" s="164"/>
      <c r="H111" s="164"/>
      <c r="I111" s="164"/>
      <c r="J111" s="164"/>
      <c r="K111" s="164"/>
      <c r="L111" s="164"/>
      <c r="M111" s="164"/>
      <c r="N111" s="164"/>
      <c r="O111" s="164"/>
      <c r="P111" s="164"/>
      <c r="Q111" s="164"/>
      <c r="R111" s="164"/>
      <c r="S111" s="164"/>
      <c r="T111" s="164"/>
    </row>
    <row r="112" spans="1:20" ht="15" customHeight="1" x14ac:dyDescent="0.2">
      <c r="A112" s="37" t="s">
        <v>293</v>
      </c>
      <c r="B112" s="39">
        <v>40.9</v>
      </c>
      <c r="C112" s="39">
        <v>40.700000000000003</v>
      </c>
      <c r="D112" s="39">
        <v>41.2</v>
      </c>
      <c r="E112" s="39">
        <v>40.4</v>
      </c>
      <c r="F112" s="39">
        <v>41</v>
      </c>
      <c r="G112" s="39">
        <v>40.4</v>
      </c>
      <c r="H112" s="39">
        <v>40.200000000000003</v>
      </c>
      <c r="I112" s="39">
        <v>40.1</v>
      </c>
      <c r="J112" s="39">
        <v>40.1</v>
      </c>
      <c r="K112" s="39">
        <v>40</v>
      </c>
      <c r="L112" s="82" t="s">
        <v>373</v>
      </c>
      <c r="M112" s="82">
        <v>10</v>
      </c>
      <c r="N112" s="82">
        <v>10</v>
      </c>
      <c r="O112" s="40">
        <f>AVERAGE(B112,C112,D112,E112,F112,G112,H112,I112,J112,K112)</f>
        <v>40.500000000000007</v>
      </c>
      <c r="P112" s="40">
        <f>STDEV(B112,C112,D112,E112,F112,G112,H112,I112,J112,K112)</f>
        <v>0.42426406871192857</v>
      </c>
      <c r="Q112" s="40">
        <f>P112/SQRT(N112)</f>
        <v>0.13416407864998739</v>
      </c>
      <c r="R112" s="40">
        <f>TINV(0.05,N112-1)*Q112</f>
        <v>0.30350023150829075</v>
      </c>
      <c r="S112" s="83" t="str">
        <f>ROUND(O112,3)&amp;" ± "&amp;ROUND(R112,3)&amp;" Ω"</f>
        <v>40,5 ± 0,304 Ω</v>
      </c>
      <c r="T112" s="41">
        <f>IF(O112&lt;&gt;0,P112/ABS(O112)*100,0)</f>
        <v>1.0475656017578483</v>
      </c>
    </row>
    <row r="113" spans="1:20" ht="15" customHeight="1" x14ac:dyDescent="0.2">
      <c r="A113" s="37" t="s">
        <v>295</v>
      </c>
      <c r="B113" s="39">
        <v>70.599999999999994</v>
      </c>
      <c r="C113" s="39">
        <v>75.5</v>
      </c>
      <c r="D113" s="39">
        <v>74.2</v>
      </c>
      <c r="E113" s="39">
        <v>73.599999999999994</v>
      </c>
      <c r="F113" s="39">
        <v>72.099999999999994</v>
      </c>
      <c r="G113" s="39">
        <v>70.599999999999994</v>
      </c>
      <c r="H113" s="39">
        <v>69.7</v>
      </c>
      <c r="I113" s="39">
        <v>69.3</v>
      </c>
      <c r="J113" s="39">
        <v>68.7</v>
      </c>
      <c r="K113" s="39">
        <v>67.5</v>
      </c>
      <c r="L113" s="82" t="s">
        <v>374</v>
      </c>
      <c r="M113" s="82">
        <v>10</v>
      </c>
      <c r="N113" s="82">
        <v>10</v>
      </c>
      <c r="O113" s="40">
        <f>AVERAGE(B113,C113,D113,E113,F113,G113,H113,I113,J113,K113)</f>
        <v>71.180000000000007</v>
      </c>
      <c r="P113" s="40">
        <f>STDEV(B113,C113,D113,E113,F113,G113,H113,I113,J113,K113)</f>
        <v>2.5943528415901072</v>
      </c>
      <c r="Q113" s="40">
        <f>P113/SQRT(N113)</f>
        <v>0.82040640335547499</v>
      </c>
      <c r="R113" s="40">
        <f>TINV(0.05,N113-1)*Q113</f>
        <v>1.8558882217561012</v>
      </c>
      <c r="S113" s="83" t="str">
        <f>ROUND(O113,3)&amp;" ± "&amp;ROUND(R113,3)&amp;" Ω"</f>
        <v>71,18 ± 1,856 Ω</v>
      </c>
      <c r="T113" s="41">
        <f>IF(O113&lt;&gt;0,P113/ABS(O113)*100,0)</f>
        <v>3.6447778049875064</v>
      </c>
    </row>
    <row r="114" spans="1:20" ht="15" customHeight="1" x14ac:dyDescent="0.2">
      <c r="A114" s="37" t="s">
        <v>297</v>
      </c>
      <c r="B114" s="39">
        <v>88.5</v>
      </c>
      <c r="C114" s="39">
        <v>84.2</v>
      </c>
      <c r="D114" s="39">
        <v>81.900000000000006</v>
      </c>
      <c r="E114" s="39">
        <v>80.3</v>
      </c>
      <c r="F114" s="39">
        <v>78.400000000000006</v>
      </c>
      <c r="G114" s="39">
        <v>77.8</v>
      </c>
      <c r="H114" s="39">
        <v>77</v>
      </c>
      <c r="I114" s="39">
        <v>75.599999999999994</v>
      </c>
      <c r="J114" s="39">
        <v>75</v>
      </c>
      <c r="K114" s="39">
        <v>74.099999999999994</v>
      </c>
      <c r="L114" s="82" t="s">
        <v>375</v>
      </c>
      <c r="M114" s="82">
        <v>10</v>
      </c>
      <c r="N114" s="82">
        <v>10</v>
      </c>
      <c r="O114" s="40">
        <f>AVERAGE(B114,C114,D114,E114,F114,G114,H114,I114,J114,K114)</f>
        <v>79.28</v>
      </c>
      <c r="P114" s="40">
        <f>STDEV(B114,C114,D114,E114,F114,G114,H114,I114,J114,K114)</f>
        <v>4.5212584285547965</v>
      </c>
      <c r="Q114" s="40">
        <f>P114/SQRT(N114)</f>
        <v>1.4297474524466824</v>
      </c>
      <c r="R114" s="40">
        <f>TINV(0.05,N114-1)*Q114</f>
        <v>3.2343134405447493</v>
      </c>
      <c r="S114" s="83" t="str">
        <f>ROUND(O114,3)&amp;" ± "&amp;ROUND(R114,3)&amp;" Ω"</f>
        <v>79,28 ± 3,234 Ω</v>
      </c>
      <c r="T114" s="41">
        <f>IF(O114&lt;&gt;0,P114/ABS(O114)*100,0)</f>
        <v>5.7028991278440921</v>
      </c>
    </row>
    <row r="115" spans="1:20" ht="15" customHeight="1" x14ac:dyDescent="0.2">
      <c r="A115" s="37" t="s">
        <v>299</v>
      </c>
      <c r="B115" s="39">
        <v>85.2</v>
      </c>
      <c r="C115" s="39">
        <v>82.3</v>
      </c>
      <c r="D115" s="39">
        <v>79.900000000000006</v>
      </c>
      <c r="E115" s="39">
        <v>78.8</v>
      </c>
      <c r="F115" s="39">
        <v>77.8</v>
      </c>
      <c r="G115" s="39">
        <v>76.5</v>
      </c>
      <c r="H115" s="39">
        <v>76.8</v>
      </c>
      <c r="I115" s="39">
        <v>75.599999999999994</v>
      </c>
      <c r="J115" s="39">
        <v>75.099999999999994</v>
      </c>
      <c r="K115" s="39">
        <v>74.900000000000006</v>
      </c>
      <c r="L115" s="82" t="s">
        <v>376</v>
      </c>
      <c r="M115" s="82">
        <v>10</v>
      </c>
      <c r="N115" s="82">
        <v>10</v>
      </c>
      <c r="O115" s="40">
        <f>AVERAGE(B115,C115,D115,E115,F115,G115,H115,I115,J115,K115)</f>
        <v>78.289999999999992</v>
      </c>
      <c r="P115" s="40">
        <f>STDEV(B115,C115,D115,E115,F115,G115,H115,I115,J115,K115)</f>
        <v>3.3540854027422884</v>
      </c>
      <c r="Q115" s="40">
        <f>P115/SQRT(N115)</f>
        <v>1.06065493393888</v>
      </c>
      <c r="R115" s="40">
        <f>TINV(0.05,N115-1)*Q115</f>
        <v>2.3993681560670947</v>
      </c>
      <c r="S115" s="83" t="str">
        <f>ROUND(O115,3)&amp;" ± "&amp;ROUND(R115,3)&amp;" Ω"</f>
        <v>78,29 ± 2,399 Ω</v>
      </c>
      <c r="T115" s="41">
        <f>IF(O115&lt;&gt;0,P115/ABS(O115)*100,0)</f>
        <v>4.2841811249741841</v>
      </c>
    </row>
    <row r="116" spans="1:20" ht="15" customHeight="1" x14ac:dyDescent="0.2">
      <c r="A116" s="37" t="s">
        <v>301</v>
      </c>
      <c r="B116" s="39">
        <v>92.5</v>
      </c>
      <c r="C116" s="39">
        <v>91</v>
      </c>
      <c r="D116" s="39">
        <v>90.4</v>
      </c>
      <c r="E116" s="39">
        <v>88.6</v>
      </c>
      <c r="F116" s="39">
        <v>88.4</v>
      </c>
      <c r="G116" s="39">
        <v>87.9</v>
      </c>
      <c r="H116" s="39">
        <v>87</v>
      </c>
      <c r="I116" s="39">
        <v>86.8</v>
      </c>
      <c r="J116" s="39">
        <v>86.6</v>
      </c>
      <c r="K116" s="39">
        <v>86.2</v>
      </c>
      <c r="L116" s="82" t="s">
        <v>377</v>
      </c>
      <c r="M116" s="82">
        <v>10</v>
      </c>
      <c r="N116" s="82">
        <v>10</v>
      </c>
      <c r="O116" s="40">
        <f>AVERAGE(B116,C116,D116,E116,F116,G116,H116,I116,J116,K116)</f>
        <v>88.539999999999992</v>
      </c>
      <c r="P116" s="40">
        <f>STDEV(B116,C116,D116,E116,F116,G116,H116,I116,J116,K116)</f>
        <v>2.1151306762887678</v>
      </c>
      <c r="Q116" s="40">
        <f>P116/SQRT(N116)</f>
        <v>0.6688630485964806</v>
      </c>
      <c r="R116" s="40">
        <f>TINV(0.05,N116-1)*Q116</f>
        <v>1.5130733363135727</v>
      </c>
      <c r="S116" s="83" t="str">
        <f>ROUND(O116,3)&amp;" ± "&amp;ROUND(R116,3)&amp;" Ω"</f>
        <v>88,54 ± 1,513 Ω</v>
      </c>
      <c r="T116" s="41">
        <f>IF(O116&lt;&gt;0,P116/ABS(O116)*100,0)</f>
        <v>2.3888984371908379</v>
      </c>
    </row>
    <row r="117" spans="1:20" s="148" customFormat="1" ht="15" customHeight="1" x14ac:dyDescent="0.2">
      <c r="A117" s="142"/>
      <c r="B117" s="143"/>
      <c r="C117" s="143"/>
      <c r="D117" s="143"/>
      <c r="E117" s="143"/>
      <c r="F117" s="143"/>
      <c r="G117" s="143"/>
      <c r="H117" s="143"/>
      <c r="I117" s="143"/>
      <c r="J117" s="143"/>
      <c r="K117" s="143"/>
      <c r="L117" s="144"/>
      <c r="M117" s="145"/>
      <c r="N117" s="145"/>
      <c r="O117" s="146"/>
      <c r="P117" s="146"/>
      <c r="Q117" s="146"/>
      <c r="R117" s="146"/>
      <c r="S117" s="147"/>
      <c r="T117" s="146"/>
    </row>
    <row r="118" spans="1:20" ht="22" customHeight="1" x14ac:dyDescent="0.2">
      <c r="A118" s="163" t="s">
        <v>378</v>
      </c>
      <c r="B118" s="164"/>
      <c r="C118" s="164"/>
      <c r="D118" s="164"/>
      <c r="E118" s="164"/>
      <c r="F118" s="164"/>
      <c r="G118" s="164"/>
      <c r="H118" s="164"/>
      <c r="I118" s="164"/>
      <c r="J118" s="164"/>
      <c r="K118" s="164"/>
      <c r="L118" s="164"/>
      <c r="M118" s="164"/>
      <c r="N118" s="164"/>
      <c r="O118" s="164"/>
      <c r="P118" s="164"/>
      <c r="Q118" s="164"/>
      <c r="R118" s="164"/>
      <c r="S118" s="164"/>
      <c r="T118" s="164"/>
    </row>
    <row r="119" spans="1:20" ht="15" customHeight="1" x14ac:dyDescent="0.2">
      <c r="A119" s="37" t="s">
        <v>293</v>
      </c>
      <c r="B119" s="39">
        <v>31.7</v>
      </c>
      <c r="C119" s="39">
        <v>31.2</v>
      </c>
      <c r="D119" s="39">
        <v>31</v>
      </c>
      <c r="E119" s="39">
        <v>31.3</v>
      </c>
      <c r="F119" s="39">
        <v>30.9</v>
      </c>
      <c r="G119" s="39">
        <v>30.7</v>
      </c>
      <c r="H119" s="39">
        <v>31.1</v>
      </c>
      <c r="I119" s="39">
        <v>31</v>
      </c>
      <c r="J119" s="39">
        <v>30.9</v>
      </c>
      <c r="K119" s="39">
        <v>31</v>
      </c>
      <c r="L119" s="82" t="s">
        <v>379</v>
      </c>
      <c r="M119" s="82">
        <v>10</v>
      </c>
      <c r="N119" s="82">
        <v>10</v>
      </c>
      <c r="O119" s="40">
        <f>AVERAGE(B119,C119,D119,E119,F119,G119,H119,I119,J119,K119)</f>
        <v>31.079999999999995</v>
      </c>
      <c r="P119" s="40">
        <f>STDEV(B119,C119,D119,E119,F119,G119,H119,I119,J119,K119)</f>
        <v>0.2740640638812597</v>
      </c>
      <c r="Q119" s="40">
        <f>P119/SQRT(N119)</f>
        <v>8.6666666666666711E-2</v>
      </c>
      <c r="R119" s="40">
        <f>TINV(0.05,N119-1)*Q119</f>
        <v>0.19605362077584457</v>
      </c>
      <c r="S119" s="83" t="str">
        <f>ROUND(O119,3)&amp;" ± "&amp;ROUND(R119,3)&amp;" Ω"</f>
        <v>31,08 ± 0,196 Ω</v>
      </c>
      <c r="T119" s="41">
        <f>IF(O119&lt;&gt;0,P119/ABS(O119)*100,0)</f>
        <v>0.8818020073399605</v>
      </c>
    </row>
    <row r="120" spans="1:20" ht="15" customHeight="1" x14ac:dyDescent="0.2">
      <c r="A120" s="37" t="s">
        <v>295</v>
      </c>
      <c r="B120" s="39">
        <v>46.9</v>
      </c>
      <c r="C120" s="39">
        <v>46.3</v>
      </c>
      <c r="D120" s="39">
        <v>45.6</v>
      </c>
      <c r="E120" s="39">
        <v>45.1</v>
      </c>
      <c r="F120" s="39">
        <v>45.3</v>
      </c>
      <c r="G120" s="39">
        <v>44.2</v>
      </c>
      <c r="H120" s="39">
        <v>43.8</v>
      </c>
      <c r="I120" s="39">
        <v>43.2</v>
      </c>
      <c r="J120" s="39">
        <v>43.9</v>
      </c>
      <c r="K120" s="39">
        <v>43.5</v>
      </c>
      <c r="L120" s="82" t="s">
        <v>380</v>
      </c>
      <c r="M120" s="82">
        <v>10</v>
      </c>
      <c r="N120" s="82">
        <v>10</v>
      </c>
      <c r="O120" s="40">
        <f>AVERAGE(B120,C120,D120,E120,F120,G120,H120,I120,J120,K120)</f>
        <v>44.779999999999994</v>
      </c>
      <c r="P120" s="40">
        <f>STDEV(B120,C120,D120,E120,F120,G120,H120,I120,J120,K120)</f>
        <v>1.2497110777206768</v>
      </c>
      <c r="Q120" s="40">
        <f>P120/SQRT(N120)</f>
        <v>0.39519334227410452</v>
      </c>
      <c r="R120" s="40">
        <f>TINV(0.05,N120-1)*Q120</f>
        <v>0.89398944991552831</v>
      </c>
      <c r="S120" s="83" t="str">
        <f>ROUND(O120,3)&amp;" ± "&amp;ROUND(R120,3)&amp;" Ω"</f>
        <v>44,78 ± 0,894 Ω</v>
      </c>
      <c r="T120" s="41">
        <f>IF(O120&lt;&gt;0,P120/ABS(O120)*100,0)</f>
        <v>2.790779539349435</v>
      </c>
    </row>
    <row r="121" spans="1:20" ht="15" customHeight="1" x14ac:dyDescent="0.2">
      <c r="A121" s="37" t="s">
        <v>297</v>
      </c>
      <c r="B121" s="39">
        <v>51.2</v>
      </c>
      <c r="C121" s="39">
        <v>50.1</v>
      </c>
      <c r="D121" s="39">
        <v>49.6</v>
      </c>
      <c r="E121" s="39">
        <v>49.2</v>
      </c>
      <c r="F121" s="39">
        <v>48.8</v>
      </c>
      <c r="G121" s="39">
        <v>48.4</v>
      </c>
      <c r="H121" s="39">
        <v>47.9</v>
      </c>
      <c r="I121" s="39">
        <v>47.4</v>
      </c>
      <c r="J121" s="39">
        <v>47.7</v>
      </c>
      <c r="K121" s="39">
        <v>46.6</v>
      </c>
      <c r="L121" s="82" t="s">
        <v>381</v>
      </c>
      <c r="M121" s="82">
        <v>10</v>
      </c>
      <c r="N121" s="82">
        <v>10</v>
      </c>
      <c r="O121" s="40">
        <f>AVERAGE(B121,C121,D121,E121,F121,G121,H121,I121,J121,K121)</f>
        <v>48.69</v>
      </c>
      <c r="P121" s="40">
        <f>STDEV(B121,C121,D121,E121,F121,G121,H121,I121,J121,K121)</f>
        <v>1.3787675656179332</v>
      </c>
      <c r="Q121" s="40">
        <f>P121/SQRT(N121)</f>
        <v>0.43600458713183299</v>
      </c>
      <c r="R121" s="40">
        <f>TINV(0.05,N121-1)*Q121</f>
        <v>0.98631089979315023</v>
      </c>
      <c r="S121" s="83" t="str">
        <f>ROUND(O121,3)&amp;" ± "&amp;ROUND(R121,3)&amp;" Ω"</f>
        <v>48,69 ± 0,986 Ω</v>
      </c>
      <c r="T121" s="41">
        <f>IF(O121&lt;&gt;0,P121/ABS(O121)*100,0)</f>
        <v>2.831726361918121</v>
      </c>
    </row>
    <row r="122" spans="1:20" ht="15" customHeight="1" x14ac:dyDescent="0.2">
      <c r="A122" s="37" t="s">
        <v>299</v>
      </c>
      <c r="B122" s="39">
        <v>56</v>
      </c>
      <c r="C122" s="39">
        <v>56</v>
      </c>
      <c r="D122" s="39">
        <v>55.1</v>
      </c>
      <c r="E122" s="39">
        <v>54.8</v>
      </c>
      <c r="F122" s="39">
        <v>54.6</v>
      </c>
      <c r="G122" s="39">
        <v>54.5</v>
      </c>
      <c r="H122" s="39">
        <v>53.7</v>
      </c>
      <c r="I122" s="39">
        <v>53</v>
      </c>
      <c r="J122" s="39">
        <v>52.8</v>
      </c>
      <c r="K122" s="39">
        <v>52.6</v>
      </c>
      <c r="L122" s="82" t="s">
        <v>382</v>
      </c>
      <c r="M122" s="82">
        <v>10</v>
      </c>
      <c r="N122" s="82">
        <v>10</v>
      </c>
      <c r="O122" s="40">
        <f>AVERAGE(B122,C122,D122,E122,F122,G122,H122,I122,J122,K122)</f>
        <v>54.31</v>
      </c>
      <c r="P122" s="40">
        <f>STDEV(B122,C122,D122,E122,F122,G122,H122,I122,J122,K122)</f>
        <v>1.2467290536974476</v>
      </c>
      <c r="Q122" s="40">
        <f>P122/SQRT(N122)</f>
        <v>0.39425034347903021</v>
      </c>
      <c r="R122" s="40">
        <f>TINV(0.05,N122-1)*Q122</f>
        <v>0.89185623843674089</v>
      </c>
      <c r="S122" s="83" t="str">
        <f>ROUND(O122,3)&amp;" ± "&amp;ROUND(R122,3)&amp;" Ω"</f>
        <v>54,31 ± 0,892 Ω</v>
      </c>
      <c r="T122" s="41">
        <f>IF(O122&lt;&gt;0,P122/ABS(O122)*100,0)</f>
        <v>2.2955791819139155</v>
      </c>
    </row>
    <row r="123" spans="1:20" ht="15" customHeight="1" x14ac:dyDescent="0.2">
      <c r="A123" s="37" t="s">
        <v>301</v>
      </c>
      <c r="B123" s="39">
        <v>78.900000000000006</v>
      </c>
      <c r="C123" s="39">
        <v>75.7</v>
      </c>
      <c r="D123" s="39">
        <v>73.8</v>
      </c>
      <c r="E123" s="39">
        <v>72.099999999999994</v>
      </c>
      <c r="F123" s="39">
        <v>70.099999999999994</v>
      </c>
      <c r="G123" s="39">
        <v>69.2</v>
      </c>
      <c r="H123" s="39">
        <v>68.400000000000006</v>
      </c>
      <c r="I123" s="39">
        <v>67.3</v>
      </c>
      <c r="J123" s="39">
        <v>66.5</v>
      </c>
      <c r="K123" s="39">
        <v>66</v>
      </c>
      <c r="L123" s="82" t="s">
        <v>383</v>
      </c>
      <c r="M123" s="82">
        <v>10</v>
      </c>
      <c r="N123" s="82">
        <v>10</v>
      </c>
      <c r="O123" s="40">
        <f>AVERAGE(B123,C123,D123,E123,F123,G123,H123,I123,J123,K123)</f>
        <v>70.8</v>
      </c>
      <c r="P123" s="40">
        <f>STDEV(B123,C123,D123,E123,F123,G123,H123,I123,J123,K123)</f>
        <v>4.2544094772365302</v>
      </c>
      <c r="Q123" s="40">
        <f>P123/SQRT(N123)</f>
        <v>1.3453624047073711</v>
      </c>
      <c r="R123" s="40">
        <f>TINV(0.05,N123-1)*Q123</f>
        <v>3.0434212003681975</v>
      </c>
      <c r="S123" s="83" t="str">
        <f>ROUND(O123,3)&amp;" ± "&amp;ROUND(R123,3)&amp;" Ω"</f>
        <v>70,8 ± 3,043 Ω</v>
      </c>
      <c r="T123" s="41">
        <f>IF(O123&lt;&gt;0,P123/ABS(O123)*100,0)</f>
        <v>6.0090529339499019</v>
      </c>
    </row>
    <row r="124" spans="1:20" s="148" customFormat="1" ht="15" customHeight="1" x14ac:dyDescent="0.2">
      <c r="A124" s="142"/>
      <c r="B124" s="143"/>
      <c r="C124" s="143"/>
      <c r="D124" s="143"/>
      <c r="E124" s="143"/>
      <c r="F124" s="143"/>
      <c r="G124" s="143"/>
      <c r="H124" s="143"/>
      <c r="I124" s="143"/>
      <c r="J124" s="143"/>
      <c r="K124" s="143"/>
      <c r="L124" s="144"/>
      <c r="M124" s="145"/>
      <c r="N124" s="145"/>
      <c r="O124" s="146"/>
      <c r="P124" s="146"/>
      <c r="Q124" s="146"/>
      <c r="R124" s="146"/>
      <c r="S124" s="147"/>
      <c r="T124" s="146"/>
    </row>
    <row r="125" spans="1:20" ht="22" customHeight="1" x14ac:dyDescent="0.2">
      <c r="A125" s="163" t="s">
        <v>384</v>
      </c>
      <c r="B125" s="164"/>
      <c r="C125" s="164"/>
      <c r="D125" s="164"/>
      <c r="E125" s="164"/>
      <c r="F125" s="164"/>
      <c r="G125" s="164"/>
      <c r="H125" s="164"/>
      <c r="I125" s="164"/>
      <c r="J125" s="164"/>
      <c r="K125" s="164"/>
      <c r="L125" s="164"/>
      <c r="M125" s="164"/>
      <c r="N125" s="164"/>
      <c r="O125" s="164"/>
      <c r="P125" s="164"/>
      <c r="Q125" s="164"/>
      <c r="R125" s="164"/>
      <c r="S125" s="164"/>
      <c r="T125" s="164"/>
    </row>
    <row r="126" spans="1:20" ht="15" customHeight="1" x14ac:dyDescent="0.2">
      <c r="A126" s="37" t="s">
        <v>293</v>
      </c>
      <c r="B126" s="39">
        <v>16.3</v>
      </c>
      <c r="C126" s="39">
        <v>15.7</v>
      </c>
      <c r="D126" s="39">
        <v>15.3</v>
      </c>
      <c r="E126" s="39">
        <v>15.2</v>
      </c>
      <c r="F126" s="39">
        <v>15.3</v>
      </c>
      <c r="G126" s="39">
        <v>15</v>
      </c>
      <c r="H126" s="39">
        <v>14.9</v>
      </c>
      <c r="I126" s="39">
        <v>14.8</v>
      </c>
      <c r="J126" s="39">
        <v>14.6</v>
      </c>
      <c r="K126" s="39">
        <v>14.6</v>
      </c>
      <c r="L126" s="82" t="s">
        <v>385</v>
      </c>
      <c r="M126" s="82">
        <v>10</v>
      </c>
      <c r="N126" s="82">
        <v>10</v>
      </c>
      <c r="O126" s="40">
        <f>AVERAGE(B126,C126,D126,E126,F126,G126,H126,I126,J126,K126)</f>
        <v>15.169999999999998</v>
      </c>
      <c r="P126" s="40">
        <f>STDEV(B126,C126,D126,E126,F126,G126,H126,I126,J126,K126)</f>
        <v>0.52503968104007792</v>
      </c>
      <c r="Q126" s="40">
        <f>P126/SQRT(N126)</f>
        <v>0.16603212540549697</v>
      </c>
      <c r="R126" s="40">
        <f>TINV(0.05,N126-1)*Q126</f>
        <v>0.37559076174065487</v>
      </c>
      <c r="S126" s="83" t="str">
        <f>ROUND(O126,3)&amp;" ± "&amp;ROUND(R126,3)&amp;" Ω"</f>
        <v>15,17 ± 0,376 Ω</v>
      </c>
      <c r="T126" s="41">
        <f>IF(O126&lt;&gt;0,P126/ABS(O126)*100,0)</f>
        <v>3.4610394267638629</v>
      </c>
    </row>
    <row r="127" spans="1:20" ht="15" customHeight="1" x14ac:dyDescent="0.2">
      <c r="A127" s="37" t="s">
        <v>295</v>
      </c>
      <c r="B127" s="39">
        <v>340</v>
      </c>
      <c r="C127" s="39">
        <v>364.5</v>
      </c>
      <c r="D127" s="39">
        <v>340</v>
      </c>
      <c r="E127" s="39">
        <v>322</v>
      </c>
      <c r="F127" s="39">
        <v>450</v>
      </c>
      <c r="G127" s="39">
        <v>346</v>
      </c>
      <c r="H127" s="39">
        <v>348</v>
      </c>
      <c r="I127" s="39">
        <v>331</v>
      </c>
      <c r="J127" s="39">
        <v>316</v>
      </c>
      <c r="K127" s="39">
        <v>340</v>
      </c>
      <c r="L127" s="84" t="s">
        <v>386</v>
      </c>
      <c r="M127" s="82">
        <v>10</v>
      </c>
      <c r="N127" s="82">
        <v>9</v>
      </c>
      <c r="O127" s="40">
        <f>AVERAGE(B127,C127,D127,E127,G127,H127,I127,J127,K127)</f>
        <v>338.61111111111109</v>
      </c>
      <c r="P127" s="40">
        <f>STDEV(B127,C127,D127,E127,G127,H127,I127,J127,K127)</f>
        <v>14.42172358323065</v>
      </c>
      <c r="Q127" s="40">
        <f>P127/SQRT(N127)</f>
        <v>4.8072411944102162</v>
      </c>
      <c r="R127" s="40">
        <f>TINV(0.05,N127-1)*Q127</f>
        <v>11.085518073233779</v>
      </c>
      <c r="S127" s="83" t="str">
        <f>ROUND(O127,3)&amp;" ± "&amp;ROUND(R127,3)&amp;" Ω"</f>
        <v>338,611 ± 11,086 Ω</v>
      </c>
      <c r="T127" s="41">
        <f>IF(O127&lt;&gt;0,P127/ABS(O127)*100,0)</f>
        <v>4.2590816160484284</v>
      </c>
    </row>
    <row r="128" spans="1:20" ht="15" customHeight="1" x14ac:dyDescent="0.2">
      <c r="A128" s="37" t="s">
        <v>297</v>
      </c>
      <c r="B128" s="39">
        <v>255</v>
      </c>
      <c r="C128" s="39">
        <v>516</v>
      </c>
      <c r="D128" s="39">
        <v>643</v>
      </c>
      <c r="E128" s="39">
        <v>360</v>
      </c>
      <c r="F128" s="39">
        <v>311</v>
      </c>
      <c r="G128" s="39">
        <v>314</v>
      </c>
      <c r="H128" s="39">
        <v>363</v>
      </c>
      <c r="I128" s="39">
        <v>272</v>
      </c>
      <c r="J128" s="39">
        <v>279</v>
      </c>
      <c r="K128" s="39">
        <v>257</v>
      </c>
      <c r="L128" s="82" t="s">
        <v>387</v>
      </c>
      <c r="M128" s="82">
        <v>10</v>
      </c>
      <c r="N128" s="82">
        <v>10</v>
      </c>
      <c r="O128" s="40">
        <f>AVERAGE(B128,C128,D128,E128,F128,G128,H128,I128,J128,K128)</f>
        <v>357</v>
      </c>
      <c r="P128" s="40">
        <f>STDEV(B128,C128,D128,E128,F128,G128,H128,I128,J128,K128)</f>
        <v>126.84198393626966</v>
      </c>
      <c r="Q128" s="40">
        <f>P128/SQRT(N128)</f>
        <v>40.110957217310194</v>
      </c>
      <c r="R128" s="40">
        <f>TINV(0.05,N128-1)*Q128</f>
        <v>90.737289175830625</v>
      </c>
      <c r="S128" s="83" t="str">
        <f>ROUND(O128,3)&amp;" ± "&amp;ROUND(R128,3)&amp;" Ω"</f>
        <v>357 ± 90,737 Ω</v>
      </c>
      <c r="T128" s="41">
        <f>IF(O128&lt;&gt;0,P128/ABS(O128)*100,0)</f>
        <v>35.529967489151169</v>
      </c>
    </row>
    <row r="129" spans="1:20" ht="15" customHeight="1" x14ac:dyDescent="0.2">
      <c r="A129" s="37" t="s">
        <v>299</v>
      </c>
      <c r="B129" s="162" t="s">
        <v>298</v>
      </c>
      <c r="C129" s="160"/>
      <c r="D129" s="160"/>
      <c r="E129" s="160"/>
      <c r="F129" s="160"/>
      <c r="G129" s="160"/>
      <c r="H129" s="160"/>
      <c r="I129" s="160"/>
      <c r="J129" s="160"/>
      <c r="K129" s="160"/>
      <c r="L129" s="84" t="s">
        <v>78</v>
      </c>
      <c r="M129" s="82">
        <v>10</v>
      </c>
      <c r="N129" s="82">
        <v>10</v>
      </c>
      <c r="O129" s="40" t="e">
        <f>AVERAGE(B129,C129,D129,E129,F129,G129,H129,I129,J129,K129)</f>
        <v>#DIV/0!</v>
      </c>
      <c r="P129" s="40" t="e">
        <f>STDEV(B129,C129,D129,E129,F129,G129,H129,I129,J129,K129)</f>
        <v>#DIV/0!</v>
      </c>
      <c r="Q129" s="40" t="e">
        <f>P129/SQRT(N129)</f>
        <v>#DIV/0!</v>
      </c>
      <c r="R129" s="40" t="e">
        <f>TINV(0.05,N129-1)*Q129</f>
        <v>#DIV/0!</v>
      </c>
      <c r="S129" s="83" t="e">
        <f>ROUND(O129,3)&amp;" ± "&amp;ROUND(R129,3)&amp;" Ω"</f>
        <v>#DIV/0!</v>
      </c>
      <c r="T129" s="41" t="e">
        <f>IF(O129&lt;&gt;0,P129/ABS(O129)*100,0)</f>
        <v>#DIV/0!</v>
      </c>
    </row>
    <row r="130" spans="1:20" ht="15" customHeight="1" x14ac:dyDescent="0.2">
      <c r="A130" s="37" t="s">
        <v>301</v>
      </c>
      <c r="B130" s="162" t="s">
        <v>298</v>
      </c>
      <c r="C130" s="160"/>
      <c r="D130" s="160"/>
      <c r="E130" s="160"/>
      <c r="F130" s="160"/>
      <c r="G130" s="160"/>
      <c r="H130" s="160"/>
      <c r="I130" s="160"/>
      <c r="J130" s="160"/>
      <c r="K130" s="160"/>
      <c r="L130" s="84" t="s">
        <v>78</v>
      </c>
      <c r="M130" s="82">
        <v>10</v>
      </c>
      <c r="N130" s="82">
        <v>10</v>
      </c>
      <c r="O130" s="40" t="e">
        <f>AVERAGE(B130,C130,D130,G130,H130,I130,J130,K130,E130,F130)</f>
        <v>#DIV/0!</v>
      </c>
      <c r="P130" s="40" t="e">
        <f>STDEV(B130,C130,D130,G130,H130,I130,J130,K130)</f>
        <v>#DIV/0!</v>
      </c>
      <c r="Q130" s="40" t="e">
        <f>P130/SQRT(N130)</f>
        <v>#DIV/0!</v>
      </c>
      <c r="R130" s="40" t="e">
        <f>TINV(0.05,N130-1)*Q130</f>
        <v>#DIV/0!</v>
      </c>
      <c r="S130" s="83" t="e">
        <f>ROUND(O130,3)&amp;" ± "&amp;ROUND(R130,3)&amp;" Ω"</f>
        <v>#DIV/0!</v>
      </c>
      <c r="T130" s="41" t="e">
        <f>IF(O130&lt;&gt;0,P130/ABS(O130)*100,0)</f>
        <v>#DIV/0!</v>
      </c>
    </row>
    <row r="131" spans="1:20" s="148" customFormat="1" ht="15" customHeight="1" x14ac:dyDescent="0.2">
      <c r="A131" s="142"/>
      <c r="B131" s="143"/>
      <c r="C131" s="143"/>
      <c r="D131" s="143"/>
      <c r="E131" s="143"/>
      <c r="F131" s="143"/>
      <c r="G131" s="143"/>
      <c r="H131" s="143"/>
      <c r="I131" s="143"/>
      <c r="J131" s="143"/>
      <c r="K131" s="143"/>
      <c r="L131" s="144"/>
      <c r="M131" s="145"/>
      <c r="N131" s="145"/>
      <c r="O131" s="146"/>
      <c r="P131" s="146"/>
      <c r="Q131" s="146"/>
      <c r="R131" s="146"/>
      <c r="S131" s="147"/>
      <c r="T131" s="146"/>
    </row>
    <row r="132" spans="1:20" ht="22" customHeight="1" x14ac:dyDescent="0.2">
      <c r="A132" s="163" t="s">
        <v>388</v>
      </c>
      <c r="B132" s="164"/>
      <c r="C132" s="164"/>
      <c r="D132" s="164"/>
      <c r="E132" s="164"/>
      <c r="F132" s="164"/>
      <c r="G132" s="164"/>
      <c r="H132" s="164"/>
      <c r="I132" s="164"/>
      <c r="J132" s="164"/>
      <c r="K132" s="164"/>
      <c r="L132" s="164"/>
      <c r="M132" s="164"/>
      <c r="N132" s="164"/>
      <c r="O132" s="164"/>
      <c r="P132" s="164"/>
      <c r="Q132" s="164"/>
      <c r="R132" s="164"/>
      <c r="S132" s="164"/>
      <c r="T132" s="164"/>
    </row>
    <row r="133" spans="1:20" ht="15" customHeight="1" x14ac:dyDescent="0.2">
      <c r="A133" s="37" t="s">
        <v>293</v>
      </c>
      <c r="B133" s="39">
        <v>18</v>
      </c>
      <c r="C133" s="39">
        <v>17.899999999999999</v>
      </c>
      <c r="D133" s="39">
        <v>17.600000000000001</v>
      </c>
      <c r="E133" s="39">
        <v>17.5</v>
      </c>
      <c r="F133" s="39">
        <v>17.3</v>
      </c>
      <c r="G133" s="39">
        <v>17.2</v>
      </c>
      <c r="H133" s="39">
        <v>17.100000000000001</v>
      </c>
      <c r="I133" s="39">
        <v>17.100000000000001</v>
      </c>
      <c r="J133" s="39">
        <v>17</v>
      </c>
      <c r="K133" s="39">
        <v>17</v>
      </c>
      <c r="L133" s="82" t="s">
        <v>389</v>
      </c>
      <c r="M133" s="82">
        <v>10</v>
      </c>
      <c r="N133" s="82">
        <v>10</v>
      </c>
      <c r="O133" s="40">
        <f>AVERAGE(B133,C133,D133,E133,F133,G133,H133,I133,J133,K133)</f>
        <v>17.369999999999997</v>
      </c>
      <c r="P133" s="40">
        <f>STDEV(B133,C133,D133,E133,F133,G133,H133,I133,J133,K133)</f>
        <v>0.36530048514126584</v>
      </c>
      <c r="Q133" s="40">
        <f>P133/SQRT(N133)</f>
        <v>0.11551815634108958</v>
      </c>
      <c r="R133" s="40">
        <f>TINV(0.05,N133-1)*Q133</f>
        <v>0.2613202248002387</v>
      </c>
      <c r="S133" s="83" t="str">
        <f>ROUND(O133,3)&amp;" ± "&amp;ROUND(R133,3)&amp;" Ω"</f>
        <v>17,37 ± 0,261 Ω</v>
      </c>
      <c r="T133" s="41">
        <f>IF(O133&lt;&gt;0,P133/ABS(O133)*100,0)</f>
        <v>2.1030540307499472</v>
      </c>
    </row>
    <row r="134" spans="1:20" ht="15" customHeight="1" x14ac:dyDescent="0.2">
      <c r="A134" s="37" t="s">
        <v>295</v>
      </c>
      <c r="B134" s="162" t="s">
        <v>298</v>
      </c>
      <c r="C134" s="160"/>
      <c r="D134" s="160"/>
      <c r="E134" s="160"/>
      <c r="F134" s="160"/>
      <c r="G134" s="160"/>
      <c r="H134" s="160"/>
      <c r="I134" s="160"/>
      <c r="J134" s="160"/>
      <c r="K134" s="160"/>
      <c r="L134" s="84" t="s">
        <v>78</v>
      </c>
      <c r="M134" s="82">
        <v>10</v>
      </c>
      <c r="N134" s="82">
        <v>10</v>
      </c>
      <c r="O134" s="40" t="e">
        <f>AVERAGE(B134,C134,D134,E134,F134,G134,H134,I134,J134,K134)</f>
        <v>#DIV/0!</v>
      </c>
      <c r="P134" s="40" t="e">
        <f>STDEV(B134,C134,D134,E134,F134,G134,H134,I134,J134,K134)</f>
        <v>#DIV/0!</v>
      </c>
      <c r="Q134" s="40" t="e">
        <f>P134/SQRT(N134)</f>
        <v>#DIV/0!</v>
      </c>
      <c r="R134" s="40" t="e">
        <f>TINV(0.05,N134-1)*Q134</f>
        <v>#DIV/0!</v>
      </c>
      <c r="S134" s="83" t="e">
        <f>ROUND(O134,3)&amp;" ± "&amp;ROUND(R134,3)&amp;" Ω"</f>
        <v>#DIV/0!</v>
      </c>
      <c r="T134" s="41" t="e">
        <f>IF(O134&lt;&gt;0,P134/ABS(O134)*100,0)</f>
        <v>#DIV/0!</v>
      </c>
    </row>
    <row r="135" spans="1:20" ht="15" customHeight="1" x14ac:dyDescent="0.2">
      <c r="A135" s="37" t="s">
        <v>297</v>
      </c>
      <c r="B135" s="162" t="s">
        <v>298</v>
      </c>
      <c r="C135" s="160"/>
      <c r="D135" s="160"/>
      <c r="E135" s="160"/>
      <c r="F135" s="160"/>
      <c r="G135" s="160"/>
      <c r="H135" s="160"/>
      <c r="I135" s="160"/>
      <c r="J135" s="160"/>
      <c r="K135" s="160"/>
      <c r="L135" s="84" t="s">
        <v>78</v>
      </c>
      <c r="M135" s="82">
        <v>10</v>
      </c>
      <c r="N135" s="82">
        <v>10</v>
      </c>
      <c r="O135" s="40" t="e">
        <f>AVERAGE(B135,C135,D135,E135,F135,G135,H135,I135,J135,K135)</f>
        <v>#DIV/0!</v>
      </c>
      <c r="P135" s="40" t="e">
        <f>STDEV(B135,C135,D135,E135,F135,G135,H135,I135,J135,K135)</f>
        <v>#DIV/0!</v>
      </c>
      <c r="Q135" s="40" t="e">
        <f>P135/SQRT(N135)</f>
        <v>#DIV/0!</v>
      </c>
      <c r="R135" s="40" t="e">
        <f>TINV(0.05,N135-1)*Q135</f>
        <v>#DIV/0!</v>
      </c>
      <c r="S135" s="83" t="e">
        <f>ROUND(O135,3)&amp;" ± "&amp;ROUND(R135,3)&amp;" Ω"</f>
        <v>#DIV/0!</v>
      </c>
      <c r="T135" s="41" t="e">
        <f>IF(O135&lt;&gt;0,P135/ABS(O135)*100,0)</f>
        <v>#DIV/0!</v>
      </c>
    </row>
    <row r="136" spans="1:20" ht="15" customHeight="1" x14ac:dyDescent="0.2">
      <c r="A136" s="37" t="s">
        <v>299</v>
      </c>
      <c r="B136" s="162" t="s">
        <v>298</v>
      </c>
      <c r="C136" s="160"/>
      <c r="D136" s="160"/>
      <c r="E136" s="160"/>
      <c r="F136" s="160"/>
      <c r="G136" s="160"/>
      <c r="H136" s="160"/>
      <c r="I136" s="160"/>
      <c r="J136" s="160"/>
      <c r="K136" s="160"/>
      <c r="L136" s="84" t="s">
        <v>78</v>
      </c>
      <c r="M136" s="82">
        <v>10</v>
      </c>
      <c r="N136" s="82">
        <v>10</v>
      </c>
      <c r="O136" s="40" t="e">
        <f>AVERAGE(B136,C136,D136,E136,F136,G136,H136,I136,J136,K136)</f>
        <v>#DIV/0!</v>
      </c>
      <c r="P136" s="40" t="e">
        <f>STDEV(B136,C136,D136,E136,F136,G136,H136,I136,J136,K136)</f>
        <v>#DIV/0!</v>
      </c>
      <c r="Q136" s="40" t="e">
        <f>P136/SQRT(N136)</f>
        <v>#DIV/0!</v>
      </c>
      <c r="R136" s="40" t="e">
        <f>TINV(0.05,N136-1)*Q136</f>
        <v>#DIV/0!</v>
      </c>
      <c r="S136" s="83" t="e">
        <f>ROUND(O136,3)&amp;" ± "&amp;ROUND(R136,3)&amp;" Ω"</f>
        <v>#DIV/0!</v>
      </c>
      <c r="T136" s="41" t="e">
        <f>IF(O136&lt;&gt;0,P136/ABS(O136)*100,0)</f>
        <v>#DIV/0!</v>
      </c>
    </row>
    <row r="137" spans="1:20" ht="15" customHeight="1" x14ac:dyDescent="0.2">
      <c r="A137" s="37" t="s">
        <v>301</v>
      </c>
      <c r="B137" s="162" t="s">
        <v>298</v>
      </c>
      <c r="C137" s="160"/>
      <c r="D137" s="160"/>
      <c r="E137" s="160"/>
      <c r="F137" s="160"/>
      <c r="G137" s="160"/>
      <c r="H137" s="160"/>
      <c r="I137" s="160"/>
      <c r="J137" s="160"/>
      <c r="K137" s="160"/>
      <c r="L137" s="84" t="s">
        <v>78</v>
      </c>
      <c r="M137" s="82">
        <v>10</v>
      </c>
      <c r="N137" s="82">
        <v>10</v>
      </c>
      <c r="O137" s="40" t="e">
        <f>AVERAGE(B137,C137,D137,G137,H137,I137,J137,K137,E137,F137)</f>
        <v>#DIV/0!</v>
      </c>
      <c r="P137" s="40" t="e">
        <f>STDEV(B137,C137,D137,G137,H137,I137,J137,K137)</f>
        <v>#DIV/0!</v>
      </c>
      <c r="Q137" s="40" t="e">
        <f>P137/SQRT(N137)</f>
        <v>#DIV/0!</v>
      </c>
      <c r="R137" s="40" t="e">
        <f>TINV(0.05,N137-1)*Q137</f>
        <v>#DIV/0!</v>
      </c>
      <c r="S137" s="83" t="e">
        <f>ROUND(O137,3)&amp;" ± "&amp;ROUND(R137,3)&amp;" Ω"</f>
        <v>#DIV/0!</v>
      </c>
      <c r="T137" s="41" t="e">
        <f>IF(O137&lt;&gt;0,P137/ABS(O137)*100,0)</f>
        <v>#DIV/0!</v>
      </c>
    </row>
    <row r="138" spans="1:20" s="148" customFormat="1" ht="15" customHeight="1" x14ac:dyDescent="0.2">
      <c r="A138" s="142"/>
      <c r="B138" s="143"/>
      <c r="C138" s="143"/>
      <c r="D138" s="143"/>
      <c r="E138" s="143"/>
      <c r="F138" s="143"/>
      <c r="G138" s="143"/>
      <c r="H138" s="143"/>
      <c r="I138" s="143"/>
      <c r="J138" s="143"/>
      <c r="K138" s="143"/>
      <c r="L138" s="144"/>
      <c r="M138" s="145"/>
      <c r="N138" s="145"/>
      <c r="O138" s="146"/>
      <c r="P138" s="146"/>
      <c r="Q138" s="146"/>
      <c r="R138" s="146"/>
      <c r="S138" s="147"/>
      <c r="T138" s="146"/>
    </row>
    <row r="139" spans="1:20" ht="22" customHeight="1" x14ac:dyDescent="0.2">
      <c r="A139" s="163" t="s">
        <v>390</v>
      </c>
      <c r="B139" s="164"/>
      <c r="C139" s="164"/>
      <c r="D139" s="164"/>
      <c r="E139" s="164"/>
      <c r="F139" s="164"/>
      <c r="G139" s="164"/>
      <c r="H139" s="164"/>
      <c r="I139" s="164"/>
      <c r="J139" s="164"/>
      <c r="K139" s="164"/>
      <c r="L139" s="164"/>
      <c r="M139" s="164"/>
      <c r="N139" s="164"/>
      <c r="O139" s="164"/>
      <c r="P139" s="164"/>
      <c r="Q139" s="164"/>
      <c r="R139" s="164"/>
      <c r="S139" s="164"/>
      <c r="T139" s="164"/>
    </row>
    <row r="140" spans="1:20" ht="15" customHeight="1" x14ac:dyDescent="0.2">
      <c r="A140" s="37" t="s">
        <v>293</v>
      </c>
      <c r="B140" s="39">
        <v>94</v>
      </c>
      <c r="C140" s="39">
        <v>92.9</v>
      </c>
      <c r="D140" s="39">
        <v>93</v>
      </c>
      <c r="E140" s="39">
        <v>92.4</v>
      </c>
      <c r="F140" s="39">
        <v>91.5</v>
      </c>
      <c r="G140" s="39">
        <v>90.9</v>
      </c>
      <c r="H140" s="39">
        <v>90.6</v>
      </c>
      <c r="I140" s="39">
        <v>90.2</v>
      </c>
      <c r="J140" s="39">
        <v>89.7</v>
      </c>
      <c r="K140" s="39">
        <v>89.4</v>
      </c>
      <c r="L140" s="82" t="s">
        <v>391</v>
      </c>
      <c r="M140" s="82">
        <v>10</v>
      </c>
      <c r="N140" s="82">
        <v>10</v>
      </c>
      <c r="O140" s="40">
        <f>AVERAGE(B140,C140,D140,E140,F140,G140,H140,I140,J140,K140)</f>
        <v>91.460000000000008</v>
      </c>
      <c r="P140" s="40">
        <f>STDEV(B140,C140,D140,E140,F140,G140,H140,I140,J140,K140)</f>
        <v>1.5550634142124948</v>
      </c>
      <c r="Q140" s="40">
        <f>P140/SQRT(N140)</f>
        <v>0.49175422949093389</v>
      </c>
      <c r="R140" s="40">
        <f>TINV(0.05,N140-1)*Q140</f>
        <v>1.1124253525792285</v>
      </c>
      <c r="S140" s="83" t="str">
        <f>ROUND(O140,3)&amp;" ± "&amp;ROUND(R140,3)&amp;" Ω"</f>
        <v>91,46 ± 1,112 Ω</v>
      </c>
      <c r="T140" s="41">
        <f>IF(O140&lt;&gt;0,P140/ABS(O140)*100,0)</f>
        <v>1.7002661428083259</v>
      </c>
    </row>
    <row r="141" spans="1:20" ht="15" customHeight="1" x14ac:dyDescent="0.2">
      <c r="A141" s="37" t="s">
        <v>295</v>
      </c>
      <c r="B141" s="162" t="s">
        <v>298</v>
      </c>
      <c r="C141" s="160"/>
      <c r="D141" s="160"/>
      <c r="E141" s="160"/>
      <c r="F141" s="160"/>
      <c r="G141" s="160"/>
      <c r="H141" s="160"/>
      <c r="I141" s="160"/>
      <c r="J141" s="160"/>
      <c r="K141" s="160"/>
      <c r="L141" s="84" t="s">
        <v>78</v>
      </c>
      <c r="M141" s="82">
        <v>10</v>
      </c>
      <c r="N141" s="82">
        <v>10</v>
      </c>
      <c r="O141" s="40" t="e">
        <f>AVERAGE(B141,C141,D141,E141,F141,G141,H141,I141,J141,K141)</f>
        <v>#DIV/0!</v>
      </c>
      <c r="P141" s="40" t="e">
        <f>STDEV(B141,C141,D141,E141,F141,G141,H141,I141,J141,K141)</f>
        <v>#DIV/0!</v>
      </c>
      <c r="Q141" s="40" t="e">
        <f>P141/SQRT(N141)</f>
        <v>#DIV/0!</v>
      </c>
      <c r="R141" s="40" t="e">
        <f>TINV(0.05,N141-1)*Q141</f>
        <v>#DIV/0!</v>
      </c>
      <c r="S141" s="83" t="e">
        <f>ROUND(O141,3)&amp;" ± "&amp;ROUND(R141,3)&amp;" Ω"</f>
        <v>#DIV/0!</v>
      </c>
      <c r="T141" s="41" t="e">
        <f>IF(O141&lt;&gt;0,P141/ABS(O141)*100,0)</f>
        <v>#DIV/0!</v>
      </c>
    </row>
    <row r="142" spans="1:20" ht="15" customHeight="1" x14ac:dyDescent="0.2">
      <c r="A142" s="37" t="s">
        <v>297</v>
      </c>
      <c r="B142" s="162" t="s">
        <v>298</v>
      </c>
      <c r="C142" s="160"/>
      <c r="D142" s="160"/>
      <c r="E142" s="160"/>
      <c r="F142" s="160"/>
      <c r="G142" s="160"/>
      <c r="H142" s="160"/>
      <c r="I142" s="160"/>
      <c r="J142" s="160"/>
      <c r="K142" s="160"/>
      <c r="L142" s="84" t="s">
        <v>78</v>
      </c>
      <c r="M142" s="82">
        <v>10</v>
      </c>
      <c r="N142" s="82">
        <v>10</v>
      </c>
      <c r="O142" s="40" t="e">
        <f>AVERAGE(B142,C142,D142,E142,F142,G142,H142,I142,J142,K142)</f>
        <v>#DIV/0!</v>
      </c>
      <c r="P142" s="40" t="e">
        <f>STDEV(B142,C142,D142,E142,F142,G142,H142,I142,J142,K142)</f>
        <v>#DIV/0!</v>
      </c>
      <c r="Q142" s="40" t="e">
        <f>P142/SQRT(N142)</f>
        <v>#DIV/0!</v>
      </c>
      <c r="R142" s="40" t="e">
        <f>TINV(0.05,N142-1)*Q142</f>
        <v>#DIV/0!</v>
      </c>
      <c r="S142" s="83" t="e">
        <f>ROUND(O142,3)&amp;" ± "&amp;ROUND(R142,3)&amp;" Ω"</f>
        <v>#DIV/0!</v>
      </c>
      <c r="T142" s="41" t="e">
        <f>IF(O142&lt;&gt;0,P142/ABS(O142)*100,0)</f>
        <v>#DIV/0!</v>
      </c>
    </row>
    <row r="143" spans="1:20" ht="15" customHeight="1" x14ac:dyDescent="0.2">
      <c r="A143" s="37" t="s">
        <v>299</v>
      </c>
      <c r="B143" s="162" t="s">
        <v>298</v>
      </c>
      <c r="C143" s="160"/>
      <c r="D143" s="160"/>
      <c r="E143" s="160"/>
      <c r="F143" s="160"/>
      <c r="G143" s="160"/>
      <c r="H143" s="160"/>
      <c r="I143" s="160"/>
      <c r="J143" s="160"/>
      <c r="K143" s="160"/>
      <c r="L143" s="84" t="s">
        <v>78</v>
      </c>
      <c r="M143" s="82">
        <v>10</v>
      </c>
      <c r="N143" s="82">
        <v>10</v>
      </c>
      <c r="O143" s="40" t="e">
        <f>AVERAGE(B143,C143,D143,E143,F143,G143,H143,I143,J143,K143)</f>
        <v>#DIV/0!</v>
      </c>
      <c r="P143" s="40" t="e">
        <f>STDEV(B143,C143,D143,E143,F143,G143,H143,I143,J143,K143)</f>
        <v>#DIV/0!</v>
      </c>
      <c r="Q143" s="40" t="e">
        <f>P143/SQRT(N143)</f>
        <v>#DIV/0!</v>
      </c>
      <c r="R143" s="40" t="e">
        <f>TINV(0.05,N143-1)*Q143</f>
        <v>#DIV/0!</v>
      </c>
      <c r="S143" s="83" t="e">
        <f>ROUND(O143,3)&amp;" ± "&amp;ROUND(R143,3)&amp;" Ω"</f>
        <v>#DIV/0!</v>
      </c>
      <c r="T143" s="41" t="e">
        <f>IF(O143&lt;&gt;0,P143/ABS(O143)*100,0)</f>
        <v>#DIV/0!</v>
      </c>
    </row>
    <row r="144" spans="1:20" ht="15" customHeight="1" x14ac:dyDescent="0.2">
      <c r="A144" s="37" t="s">
        <v>301</v>
      </c>
      <c r="B144" s="162" t="s">
        <v>298</v>
      </c>
      <c r="C144" s="160"/>
      <c r="D144" s="160"/>
      <c r="E144" s="160"/>
      <c r="F144" s="160"/>
      <c r="G144" s="160"/>
      <c r="H144" s="160"/>
      <c r="I144" s="160"/>
      <c r="J144" s="160"/>
      <c r="K144" s="160"/>
      <c r="L144" s="84" t="s">
        <v>78</v>
      </c>
      <c r="M144" s="82">
        <v>10</v>
      </c>
      <c r="N144" s="82">
        <v>10</v>
      </c>
      <c r="O144" s="40" t="e">
        <f>AVERAGE(B144,C144,D144,E144,F144,G144,H144,I144,J144,K144)</f>
        <v>#DIV/0!</v>
      </c>
      <c r="P144" s="40" t="e">
        <f>STDEV(B144,C144,D144,E144,F144,G144,H144,I144,J144,K144)</f>
        <v>#DIV/0!</v>
      </c>
      <c r="Q144" s="40" t="e">
        <f>P144/SQRT(N144)</f>
        <v>#DIV/0!</v>
      </c>
      <c r="R144" s="40" t="e">
        <f>TINV(0.05,N144-1)*Q144</f>
        <v>#DIV/0!</v>
      </c>
      <c r="S144" s="83" t="e">
        <f>ROUND(O144,3)&amp;" ± "&amp;ROUND(R144,3)&amp;" Ω"</f>
        <v>#DIV/0!</v>
      </c>
      <c r="T144" s="41" t="e">
        <f>IF(O144&lt;&gt;0,P144/ABS(O144)*100,0)</f>
        <v>#DIV/0!</v>
      </c>
    </row>
    <row r="145" spans="1:20" s="148" customFormat="1" ht="15" customHeight="1" x14ac:dyDescent="0.2">
      <c r="A145" s="142"/>
      <c r="B145" s="143"/>
      <c r="C145" s="143"/>
      <c r="D145" s="143"/>
      <c r="E145" s="143"/>
      <c r="F145" s="143"/>
      <c r="G145" s="143"/>
      <c r="H145" s="143"/>
      <c r="I145" s="143"/>
      <c r="J145" s="143"/>
      <c r="K145" s="143"/>
      <c r="L145" s="144"/>
      <c r="M145" s="145"/>
      <c r="N145" s="145"/>
      <c r="O145" s="146"/>
      <c r="P145" s="146"/>
      <c r="Q145" s="146"/>
      <c r="R145" s="146"/>
      <c r="S145" s="147"/>
      <c r="T145" s="146"/>
    </row>
    <row r="146" spans="1:20" ht="22" customHeight="1" x14ac:dyDescent="0.2">
      <c r="A146" s="163" t="s">
        <v>392</v>
      </c>
      <c r="B146" s="164"/>
      <c r="C146" s="164"/>
      <c r="D146" s="164"/>
      <c r="E146" s="164"/>
      <c r="F146" s="164"/>
      <c r="G146" s="164"/>
      <c r="H146" s="164"/>
      <c r="I146" s="164"/>
      <c r="J146" s="164"/>
      <c r="K146" s="164"/>
      <c r="L146" s="164"/>
      <c r="M146" s="164"/>
      <c r="N146" s="164"/>
      <c r="O146" s="164"/>
      <c r="P146" s="164"/>
      <c r="Q146" s="164"/>
      <c r="R146" s="164"/>
      <c r="S146" s="164"/>
      <c r="T146" s="164"/>
    </row>
    <row r="147" spans="1:20" ht="15" customHeight="1" x14ac:dyDescent="0.2">
      <c r="A147" s="37" t="s">
        <v>293</v>
      </c>
      <c r="B147" s="39">
        <v>126.9</v>
      </c>
      <c r="C147" s="39">
        <v>121.4</v>
      </c>
      <c r="D147" s="39">
        <v>118.4</v>
      </c>
      <c r="E147" s="39">
        <v>116.1</v>
      </c>
      <c r="F147" s="39">
        <v>114</v>
      </c>
      <c r="G147" s="39">
        <v>112.5</v>
      </c>
      <c r="H147" s="39">
        <v>110.9</v>
      </c>
      <c r="I147" s="39">
        <v>109.2</v>
      </c>
      <c r="J147" s="39">
        <v>108.4</v>
      </c>
      <c r="K147" s="39">
        <v>107.3</v>
      </c>
      <c r="L147" s="82" t="s">
        <v>393</v>
      </c>
      <c r="M147" s="82">
        <v>10</v>
      </c>
      <c r="N147" s="82">
        <v>10</v>
      </c>
      <c r="O147" s="40">
        <f>AVERAGE(B147,C147,D147,E147,F147,G147,H147,I147,J147,K147)</f>
        <v>114.51000000000002</v>
      </c>
      <c r="P147" s="40">
        <f>STDEV(B147,C147,D147,E147,F147,G147,H147,I147,J147,K147)</f>
        <v>6.2671010487749097</v>
      </c>
      <c r="Q147" s="40">
        <f>P147/SQRT(N147)</f>
        <v>1.9818313640558716</v>
      </c>
      <c r="R147" s="40">
        <f>TINV(0.05,N147-1)*Q147</f>
        <v>4.4832140156571274</v>
      </c>
      <c r="S147" s="83" t="str">
        <f>ROUND(O147,3)&amp;" ± "&amp;ROUND(R147,3)&amp;" Ω"</f>
        <v>114,51 ± 4,483 Ω</v>
      </c>
      <c r="T147" s="41">
        <f>IF(O147&lt;&gt;0,P147/ABS(O147)*100,0)</f>
        <v>5.4729727087371485</v>
      </c>
    </row>
    <row r="148" spans="1:20" ht="15" customHeight="1" x14ac:dyDescent="0.2">
      <c r="A148" s="37" t="s">
        <v>295</v>
      </c>
      <c r="B148" s="39">
        <v>172.3</v>
      </c>
      <c r="C148" s="39">
        <v>166.9</v>
      </c>
      <c r="D148" s="39">
        <v>159.1</v>
      </c>
      <c r="E148" s="39">
        <v>156.5</v>
      </c>
      <c r="F148" s="39">
        <v>152.9</v>
      </c>
      <c r="G148" s="39">
        <v>150.19999999999999</v>
      </c>
      <c r="H148" s="39">
        <v>147.80000000000001</v>
      </c>
      <c r="I148" s="39">
        <v>143.9</v>
      </c>
      <c r="J148" s="39">
        <v>141.4</v>
      </c>
      <c r="K148" s="39">
        <v>136.6</v>
      </c>
      <c r="L148" s="82" t="s">
        <v>394</v>
      </c>
      <c r="M148" s="82">
        <v>10</v>
      </c>
      <c r="N148" s="82">
        <v>10</v>
      </c>
      <c r="O148" s="40">
        <f>AVERAGE(B148,C148,D148,E148,F148,G148,H148,I148,J148,K148)</f>
        <v>152.76000000000002</v>
      </c>
      <c r="P148" s="40">
        <f>STDEV(B148,C148,D148,E148,F148,G148,H148,I148,J148,K148)</f>
        <v>11.233897117405183</v>
      </c>
      <c r="Q148" s="40">
        <f>P148/SQRT(N148)</f>
        <v>3.5524701891000361</v>
      </c>
      <c r="R148" s="40">
        <f>TINV(0.05,N148-1)*Q148</f>
        <v>8.0362458838997419</v>
      </c>
      <c r="S148" s="83" t="str">
        <f>ROUND(O148,3)&amp;" ± "&amp;ROUND(R148,3)&amp;" Ω"</f>
        <v>152,76 ± 8,036 Ω</v>
      </c>
      <c r="T148" s="41">
        <f>IF(O148&lt;&gt;0,P148/ABS(O148)*100,0)</f>
        <v>7.3539520276284245</v>
      </c>
    </row>
    <row r="149" spans="1:20" ht="15" customHeight="1" x14ac:dyDescent="0.2">
      <c r="A149" s="37" t="s">
        <v>297</v>
      </c>
      <c r="B149" s="39">
        <v>214.3</v>
      </c>
      <c r="C149" s="39">
        <v>198</v>
      </c>
      <c r="D149" s="39">
        <v>185</v>
      </c>
      <c r="E149" s="39">
        <v>182.7</v>
      </c>
      <c r="F149" s="39">
        <v>178.6</v>
      </c>
      <c r="G149" s="39">
        <v>176.6</v>
      </c>
      <c r="H149" s="39">
        <v>174.5</v>
      </c>
      <c r="I149" s="39">
        <v>171</v>
      </c>
      <c r="J149" s="39">
        <v>169.5</v>
      </c>
      <c r="K149" s="39">
        <v>167.6</v>
      </c>
      <c r="L149" s="82" t="s">
        <v>395</v>
      </c>
      <c r="M149" s="82">
        <v>10</v>
      </c>
      <c r="N149" s="82">
        <v>10</v>
      </c>
      <c r="O149" s="40">
        <f>AVERAGE(B149,C149,D149,E149,F149,G149,H149,I149,J149,K149)</f>
        <v>181.78</v>
      </c>
      <c r="P149" s="40">
        <f>STDEV(B149,C149,D149,E149,F149,G149,H149,I149,J149,K149)</f>
        <v>14.490901359895537</v>
      </c>
      <c r="Q149" s="40">
        <f>P149/SQRT(N149)</f>
        <v>4.5824253646101241</v>
      </c>
      <c r="R149" s="40">
        <f>TINV(0.05,N149-1)*Q149</f>
        <v>10.366166361540969</v>
      </c>
      <c r="S149" s="83" t="str">
        <f>ROUND(O149,3)&amp;" ± "&amp;ROUND(R149,3)&amp;" Ω"</f>
        <v>181,78 ± 10,366 Ω</v>
      </c>
      <c r="T149" s="41">
        <f>IF(O149&lt;&gt;0,P149/ABS(O149)*100,0)</f>
        <v>7.9716697986002503</v>
      </c>
    </row>
    <row r="150" spans="1:20" ht="15" customHeight="1" x14ac:dyDescent="0.2">
      <c r="A150" s="37" t="s">
        <v>299</v>
      </c>
      <c r="B150" s="39">
        <v>238.4</v>
      </c>
      <c r="C150" s="39">
        <v>226.6</v>
      </c>
      <c r="D150" s="39">
        <v>216</v>
      </c>
      <c r="E150" s="39">
        <v>212</v>
      </c>
      <c r="F150" s="39">
        <v>205.2</v>
      </c>
      <c r="G150" s="39">
        <v>203.8</v>
      </c>
      <c r="H150" s="39">
        <v>198.8</v>
      </c>
      <c r="I150" s="39">
        <v>194.1</v>
      </c>
      <c r="J150" s="39">
        <v>191.9</v>
      </c>
      <c r="K150" s="39">
        <v>190.9</v>
      </c>
      <c r="L150" s="82" t="s">
        <v>396</v>
      </c>
      <c r="M150" s="82">
        <v>10</v>
      </c>
      <c r="N150" s="82">
        <v>10</v>
      </c>
      <c r="O150" s="40">
        <f>AVERAGE(B150,C150,D150,E150,F150,G150,H150,I150,J150,K150)</f>
        <v>207.76999999999998</v>
      </c>
      <c r="P150" s="40">
        <f>STDEV(B150,C150,D150,E150,F150,G150,H150,I150,J150,K150)</f>
        <v>15.650846622467423</v>
      </c>
      <c r="Q150" s="40">
        <f>P150/SQRT(N150)</f>
        <v>4.9492322636950465</v>
      </c>
      <c r="R150" s="40">
        <f>TINV(0.05,N150-1)*Q150</f>
        <v>11.195941215669725</v>
      </c>
      <c r="S150" s="83" t="str">
        <f>ROUND(O150,3)&amp;" ± "&amp;ROUND(R150,3)&amp;" Ω"</f>
        <v>207,77 ± 11,196 Ω</v>
      </c>
      <c r="T150" s="41">
        <f>IF(O150&lt;&gt;0,P150/ABS(O150)*100,0)</f>
        <v>7.5327750023908289</v>
      </c>
    </row>
    <row r="151" spans="1:20" ht="15" customHeight="1" x14ac:dyDescent="0.2">
      <c r="A151" s="37" t="s">
        <v>301</v>
      </c>
      <c r="B151" s="39">
        <v>247</v>
      </c>
      <c r="C151" s="39">
        <v>243.8</v>
      </c>
      <c r="D151" s="39">
        <v>237.7</v>
      </c>
      <c r="E151" s="39">
        <v>225.9</v>
      </c>
      <c r="F151" s="39">
        <v>226.7</v>
      </c>
      <c r="G151" s="39">
        <v>227.2</v>
      </c>
      <c r="H151" s="39">
        <v>225.7</v>
      </c>
      <c r="I151" s="39">
        <v>225.3</v>
      </c>
      <c r="J151" s="39">
        <v>218.5</v>
      </c>
      <c r="K151" s="39">
        <v>221.5</v>
      </c>
      <c r="L151" s="82" t="s">
        <v>397</v>
      </c>
      <c r="M151" s="82">
        <v>10</v>
      </c>
      <c r="N151" s="82">
        <v>10</v>
      </c>
      <c r="O151" s="40">
        <f>AVERAGE(B151,C151,D151,E151,F151,G151,H151,I151,J151,K151)</f>
        <v>229.93</v>
      </c>
      <c r="P151" s="40">
        <f>STDEV(B151,C151,D151,E151,F151,G151,H151,I151,J151,K151)</f>
        <v>9.5411448183351908</v>
      </c>
      <c r="Q151" s="40">
        <f>P151/SQRT(N151)</f>
        <v>3.0171749111452661</v>
      </c>
      <c r="R151" s="40">
        <f>TINV(0.05,N151-1)*Q151</f>
        <v>6.8253238366623021</v>
      </c>
      <c r="S151" s="83" t="str">
        <f>ROUND(O151,3)&amp;" ± "&amp;ROUND(R151,3)&amp;" Ω"</f>
        <v>229,93 ± 6,825 Ω</v>
      </c>
      <c r="T151" s="41">
        <f>IF(O151&lt;&gt;0,P151/ABS(O151)*100,0)</f>
        <v>4.1495867517658374</v>
      </c>
    </row>
    <row r="152" spans="1:20" s="148" customFormat="1" ht="15" customHeight="1" x14ac:dyDescent="0.2">
      <c r="A152" s="142"/>
      <c r="B152" s="143"/>
      <c r="C152" s="143"/>
      <c r="D152" s="143"/>
      <c r="E152" s="143"/>
      <c r="F152" s="143"/>
      <c r="G152" s="143"/>
      <c r="H152" s="143"/>
      <c r="I152" s="143"/>
      <c r="J152" s="143"/>
      <c r="K152" s="143"/>
      <c r="L152" s="144"/>
      <c r="M152" s="145"/>
      <c r="N152" s="145"/>
      <c r="O152" s="146"/>
      <c r="P152" s="146"/>
      <c r="Q152" s="146"/>
      <c r="R152" s="146"/>
      <c r="S152" s="147"/>
      <c r="T152" s="146"/>
    </row>
    <row r="153" spans="1:20" s="148" customFormat="1" ht="15" customHeight="1" x14ac:dyDescent="0.2">
      <c r="A153" s="142"/>
      <c r="B153" s="143"/>
      <c r="C153" s="143"/>
      <c r="D153" s="143"/>
      <c r="E153" s="143"/>
      <c r="F153" s="143"/>
      <c r="G153" s="143"/>
      <c r="H153" s="143"/>
      <c r="I153" s="143"/>
      <c r="J153" s="143"/>
      <c r="K153" s="143"/>
      <c r="L153" s="144"/>
      <c r="M153" s="145"/>
      <c r="N153" s="145"/>
      <c r="O153" s="146"/>
      <c r="P153" s="146"/>
      <c r="Q153" s="146"/>
      <c r="R153" s="146"/>
      <c r="S153" s="147"/>
      <c r="T153" s="146"/>
    </row>
    <row r="154" spans="1:20" ht="22" customHeight="1" x14ac:dyDescent="0.2">
      <c r="A154" s="163" t="s">
        <v>398</v>
      </c>
      <c r="B154" s="164"/>
      <c r="C154" s="164"/>
      <c r="D154" s="164"/>
      <c r="E154" s="164"/>
      <c r="F154" s="164"/>
      <c r="G154" s="164"/>
      <c r="H154" s="164"/>
      <c r="I154" s="164"/>
      <c r="J154" s="164"/>
      <c r="K154" s="164"/>
      <c r="L154" s="164"/>
      <c r="M154" s="164"/>
      <c r="N154" s="164"/>
      <c r="O154" s="164"/>
      <c r="P154" s="164"/>
      <c r="Q154" s="164"/>
      <c r="R154" s="164"/>
      <c r="S154" s="164"/>
      <c r="T154" s="164"/>
    </row>
    <row r="155" spans="1:20" ht="15" customHeight="1" x14ac:dyDescent="0.2">
      <c r="A155" s="20" t="s">
        <v>399</v>
      </c>
      <c r="B155" s="161" t="s">
        <v>400</v>
      </c>
      <c r="C155" s="160"/>
      <c r="D155" s="160"/>
      <c r="E155" s="160"/>
      <c r="F155" s="160"/>
      <c r="G155" s="160"/>
      <c r="H155" s="160"/>
      <c r="I155" s="160"/>
      <c r="J155" s="160"/>
      <c r="K155" s="160"/>
      <c r="L155" s="160"/>
      <c r="M155" s="160"/>
      <c r="N155" s="160"/>
      <c r="O155" s="160"/>
      <c r="P155" s="160"/>
      <c r="Q155" s="160"/>
      <c r="R155" s="160"/>
      <c r="S155" s="160"/>
      <c r="T155" s="160"/>
    </row>
    <row r="156" spans="1:20" ht="15" customHeight="1" x14ac:dyDescent="0.2">
      <c r="A156" s="20" t="s">
        <v>401</v>
      </c>
      <c r="B156" s="161" t="s">
        <v>402</v>
      </c>
      <c r="C156" s="160"/>
      <c r="D156" s="160"/>
      <c r="E156" s="160"/>
      <c r="F156" s="160"/>
      <c r="G156" s="160"/>
      <c r="H156" s="160"/>
      <c r="I156" s="160"/>
      <c r="J156" s="160"/>
      <c r="K156" s="160"/>
      <c r="L156" s="160"/>
      <c r="M156" s="160"/>
      <c r="N156" s="160"/>
      <c r="O156" s="160"/>
      <c r="P156" s="160"/>
      <c r="Q156" s="160"/>
      <c r="R156" s="160"/>
      <c r="S156" s="160"/>
      <c r="T156" s="160"/>
    </row>
    <row r="157" spans="1:20" ht="15" customHeight="1" x14ac:dyDescent="0.2">
      <c r="A157" s="20" t="s">
        <v>403</v>
      </c>
      <c r="B157" s="161" t="s">
        <v>404</v>
      </c>
      <c r="C157" s="160"/>
      <c r="D157" s="160"/>
      <c r="E157" s="160"/>
      <c r="F157" s="160"/>
      <c r="G157" s="160"/>
      <c r="H157" s="160"/>
      <c r="I157" s="160"/>
      <c r="J157" s="160"/>
      <c r="K157" s="160"/>
      <c r="L157" s="160"/>
      <c r="M157" s="160"/>
      <c r="N157" s="160"/>
      <c r="O157" s="160"/>
      <c r="P157" s="160"/>
      <c r="Q157" s="160"/>
      <c r="R157" s="160"/>
      <c r="S157" s="160"/>
      <c r="T157" s="160"/>
    </row>
    <row r="158" spans="1:20" ht="15" customHeight="1" x14ac:dyDescent="0.2">
      <c r="A158" s="20" t="s">
        <v>283</v>
      </c>
      <c r="B158" s="161" t="s">
        <v>405</v>
      </c>
      <c r="C158" s="160"/>
      <c r="D158" s="160"/>
      <c r="E158" s="160"/>
      <c r="F158" s="160"/>
      <c r="G158" s="160"/>
      <c r="H158" s="160"/>
      <c r="I158" s="160"/>
      <c r="J158" s="160"/>
      <c r="K158" s="160"/>
      <c r="L158" s="160"/>
      <c r="M158" s="160"/>
      <c r="N158" s="160"/>
      <c r="O158" s="160"/>
      <c r="P158" s="160"/>
      <c r="Q158" s="160"/>
      <c r="R158" s="160"/>
      <c r="S158" s="160"/>
      <c r="T158" s="160"/>
    </row>
    <row r="159" spans="1:20" ht="15" customHeight="1" x14ac:dyDescent="0.2">
      <c r="A159" s="20" t="s">
        <v>285</v>
      </c>
      <c r="B159" s="161" t="s">
        <v>406</v>
      </c>
      <c r="C159" s="160"/>
      <c r="D159" s="160"/>
      <c r="E159" s="160"/>
      <c r="F159" s="160"/>
      <c r="G159" s="160"/>
      <c r="H159" s="160"/>
      <c r="I159" s="160"/>
      <c r="J159" s="160"/>
      <c r="K159" s="160"/>
      <c r="L159" s="160"/>
      <c r="M159" s="160"/>
      <c r="N159" s="160"/>
      <c r="O159" s="160"/>
      <c r="P159" s="160"/>
      <c r="Q159" s="160"/>
      <c r="R159" s="160"/>
      <c r="S159" s="160"/>
      <c r="T159" s="160"/>
    </row>
    <row r="160" spans="1:20" ht="15" customHeight="1" x14ac:dyDescent="0.2">
      <c r="A160" s="20" t="s">
        <v>407</v>
      </c>
      <c r="B160" s="161" t="s">
        <v>408</v>
      </c>
      <c r="C160" s="160"/>
      <c r="D160" s="160"/>
      <c r="E160" s="160"/>
      <c r="F160" s="160"/>
      <c r="G160" s="160"/>
      <c r="H160" s="160"/>
      <c r="I160" s="160"/>
      <c r="J160" s="160"/>
      <c r="K160" s="160"/>
      <c r="L160" s="160"/>
      <c r="M160" s="160"/>
      <c r="N160" s="160"/>
      <c r="O160" s="160"/>
      <c r="P160" s="160"/>
      <c r="Q160" s="160"/>
      <c r="R160" s="160"/>
      <c r="S160" s="160"/>
      <c r="T160" s="160"/>
    </row>
    <row r="161" spans="1:20" ht="15" customHeight="1" x14ac:dyDescent="0.2">
      <c r="A161" s="20" t="s">
        <v>291</v>
      </c>
      <c r="B161" s="161" t="s">
        <v>409</v>
      </c>
      <c r="C161" s="160"/>
      <c r="D161" s="160"/>
      <c r="E161" s="160"/>
      <c r="F161" s="160"/>
      <c r="G161" s="160"/>
      <c r="H161" s="160"/>
      <c r="I161" s="160"/>
      <c r="J161" s="160"/>
      <c r="K161" s="160"/>
      <c r="L161" s="160"/>
      <c r="M161" s="160"/>
      <c r="N161" s="160"/>
      <c r="O161" s="160"/>
      <c r="P161" s="160"/>
      <c r="Q161" s="160"/>
      <c r="R161" s="160"/>
      <c r="S161" s="160"/>
      <c r="T161" s="160"/>
    </row>
    <row r="162" spans="1:20" ht="15" customHeight="1" x14ac:dyDescent="0.2">
      <c r="A162" s="20" t="s">
        <v>410</v>
      </c>
      <c r="B162" s="161" t="s">
        <v>411</v>
      </c>
      <c r="C162" s="160"/>
      <c r="D162" s="160"/>
      <c r="E162" s="160"/>
      <c r="F162" s="160"/>
      <c r="G162" s="160"/>
      <c r="H162" s="160"/>
      <c r="I162" s="160"/>
      <c r="J162" s="160"/>
      <c r="K162" s="160"/>
      <c r="L162" s="160"/>
      <c r="M162" s="160"/>
      <c r="N162" s="160"/>
      <c r="O162" s="160"/>
      <c r="P162" s="160"/>
      <c r="Q162" s="160"/>
      <c r="R162" s="160"/>
      <c r="S162" s="160"/>
      <c r="T162" s="160"/>
    </row>
  </sheetData>
  <mergeCells count="54">
    <mergeCell ref="B162:T162"/>
    <mergeCell ref="B10:K10"/>
    <mergeCell ref="A13:T13"/>
    <mergeCell ref="B161:T161"/>
    <mergeCell ref="B11:K11"/>
    <mergeCell ref="B136:K136"/>
    <mergeCell ref="B67:K67"/>
    <mergeCell ref="A62:T62"/>
    <mergeCell ref="B53:K53"/>
    <mergeCell ref="B157:T157"/>
    <mergeCell ref="A20:T20"/>
    <mergeCell ref="A125:T125"/>
    <mergeCell ref="B159:T159"/>
    <mergeCell ref="B155:T155"/>
    <mergeCell ref="A139:T139"/>
    <mergeCell ref="A154:T154"/>
    <mergeCell ref="A3:T3"/>
    <mergeCell ref="B130:K130"/>
    <mergeCell ref="A2:T2"/>
    <mergeCell ref="A104:T104"/>
    <mergeCell ref="A76:T76"/>
    <mergeCell ref="B52:K52"/>
    <mergeCell ref="A55:T55"/>
    <mergeCell ref="B9:K9"/>
    <mergeCell ref="B65:K65"/>
    <mergeCell ref="B46:K46"/>
    <mergeCell ref="A27:T27"/>
    <mergeCell ref="A34:T34"/>
    <mergeCell ref="A48:T48"/>
    <mergeCell ref="A1:T1"/>
    <mergeCell ref="B45:K45"/>
    <mergeCell ref="A6:T6"/>
    <mergeCell ref="B160:T160"/>
    <mergeCell ref="A146:T146"/>
    <mergeCell ref="B135:K135"/>
    <mergeCell ref="A69:T69"/>
    <mergeCell ref="B144:K144"/>
    <mergeCell ref="B129:K129"/>
    <mergeCell ref="B141:K141"/>
    <mergeCell ref="A84:T84"/>
    <mergeCell ref="B134:K134"/>
    <mergeCell ref="B156:T156"/>
    <mergeCell ref="B66:K66"/>
    <mergeCell ref="A118:T118"/>
    <mergeCell ref="A41:T41"/>
    <mergeCell ref="B158:T158"/>
    <mergeCell ref="B64:K64"/>
    <mergeCell ref="A98:T98"/>
    <mergeCell ref="B142:K142"/>
    <mergeCell ref="A132:T132"/>
    <mergeCell ref="A111:T111"/>
    <mergeCell ref="B137:K137"/>
    <mergeCell ref="B143:K143"/>
    <mergeCell ref="A92:T9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9811F"/>
  </sheetPr>
  <dimension ref="A1:J7"/>
  <sheetViews>
    <sheetView showGridLines="0" zoomScaleNormal="100" workbookViewId="0">
      <selection activeCell="A8" sqref="A8:XFD8"/>
    </sheetView>
  </sheetViews>
  <sheetFormatPr baseColWidth="10" defaultColWidth="8.6640625" defaultRowHeight="15" x14ac:dyDescent="0.2"/>
  <cols>
    <col min="1" max="1" width="18" customWidth="1"/>
    <col min="2" max="2" width="6" customWidth="1"/>
    <col min="3" max="3" width="12" customWidth="1"/>
    <col min="4" max="4" width="13" customWidth="1"/>
    <col min="5" max="5" width="10" customWidth="1"/>
    <col min="6" max="7" width="32" customWidth="1"/>
    <col min="8" max="8" width="22" customWidth="1"/>
    <col min="9" max="9" width="30" customWidth="1"/>
    <col min="10" max="10" width="42" customWidth="1"/>
  </cols>
  <sheetData>
    <row r="1" spans="1:10" ht="32" customHeight="1" x14ac:dyDescent="0.2">
      <c r="A1" s="157" t="s">
        <v>412</v>
      </c>
      <c r="B1" s="158"/>
      <c r="C1" s="158"/>
      <c r="D1" s="158"/>
      <c r="E1" s="158"/>
      <c r="F1" s="158"/>
      <c r="G1" s="158"/>
      <c r="H1" s="158"/>
      <c r="I1" s="158"/>
      <c r="J1" s="158"/>
    </row>
    <row r="2" spans="1:10" ht="30" customHeight="1" x14ac:dyDescent="0.2">
      <c r="A2" s="78" t="s">
        <v>4</v>
      </c>
      <c r="B2" s="78" t="s">
        <v>413</v>
      </c>
      <c r="C2" s="78" t="s">
        <v>414</v>
      </c>
      <c r="D2" s="78" t="s">
        <v>415</v>
      </c>
      <c r="E2" s="78" t="s">
        <v>416</v>
      </c>
      <c r="F2" s="78" t="s">
        <v>417</v>
      </c>
      <c r="G2" s="78" t="s">
        <v>418</v>
      </c>
      <c r="H2" s="78" t="s">
        <v>419</v>
      </c>
      <c r="I2" s="78" t="s">
        <v>420</v>
      </c>
      <c r="J2" s="78" t="s">
        <v>421</v>
      </c>
    </row>
    <row r="3" spans="1:10" ht="48" customHeight="1" x14ac:dyDescent="0.2">
      <c r="A3" s="98" t="s">
        <v>257</v>
      </c>
      <c r="B3" s="43" t="s">
        <v>422</v>
      </c>
      <c r="C3" s="85" t="s">
        <v>237</v>
      </c>
      <c r="D3" s="85" t="s">
        <v>237</v>
      </c>
      <c r="E3" s="86" t="s">
        <v>263</v>
      </c>
      <c r="F3" s="44" t="s">
        <v>423</v>
      </c>
      <c r="G3" s="45" t="s">
        <v>424</v>
      </c>
      <c r="H3" s="87" t="s">
        <v>425</v>
      </c>
      <c r="I3" s="46" t="s">
        <v>426</v>
      </c>
      <c r="J3" s="47" t="s">
        <v>427</v>
      </c>
    </row>
    <row r="4" spans="1:10" ht="48" customHeight="1" x14ac:dyDescent="0.2">
      <c r="A4" s="99" t="s">
        <v>249</v>
      </c>
      <c r="B4" s="48" t="s">
        <v>422</v>
      </c>
      <c r="C4" s="88" t="s">
        <v>237</v>
      </c>
      <c r="D4" s="88" t="s">
        <v>237</v>
      </c>
      <c r="E4" s="89" t="s">
        <v>263</v>
      </c>
      <c r="F4" s="49" t="s">
        <v>428</v>
      </c>
      <c r="G4" s="50" t="s">
        <v>429</v>
      </c>
      <c r="H4" s="90" t="s">
        <v>430</v>
      </c>
      <c r="I4" s="51" t="s">
        <v>431</v>
      </c>
      <c r="J4" s="52" t="s">
        <v>432</v>
      </c>
    </row>
    <row r="5" spans="1:10" ht="48" customHeight="1" x14ac:dyDescent="0.2">
      <c r="A5" s="98" t="s">
        <v>243</v>
      </c>
      <c r="B5" s="43" t="s">
        <v>422</v>
      </c>
      <c r="C5" s="85" t="s">
        <v>237</v>
      </c>
      <c r="D5" s="85" t="s">
        <v>237</v>
      </c>
      <c r="E5" s="86" t="s">
        <v>263</v>
      </c>
      <c r="F5" s="44" t="s">
        <v>433</v>
      </c>
      <c r="G5" s="45" t="s">
        <v>434</v>
      </c>
      <c r="H5" s="87" t="s">
        <v>435</v>
      </c>
      <c r="I5" s="46" t="s">
        <v>436</v>
      </c>
      <c r="J5" s="47" t="s">
        <v>437</v>
      </c>
    </row>
    <row r="6" spans="1:10" ht="48" customHeight="1" x14ac:dyDescent="0.2">
      <c r="A6" s="100" t="s">
        <v>238</v>
      </c>
      <c r="B6" s="53" t="s">
        <v>422</v>
      </c>
      <c r="C6" s="91" t="s">
        <v>263</v>
      </c>
      <c r="D6" s="92" t="s">
        <v>438</v>
      </c>
      <c r="E6" s="93" t="s">
        <v>237</v>
      </c>
      <c r="F6" s="54" t="s">
        <v>439</v>
      </c>
      <c r="G6" s="55" t="s">
        <v>440</v>
      </c>
      <c r="H6" s="94" t="s">
        <v>441</v>
      </c>
      <c r="I6" s="56" t="s">
        <v>442</v>
      </c>
      <c r="J6" s="57" t="s">
        <v>78</v>
      </c>
    </row>
    <row r="7" spans="1:10" ht="48" customHeight="1" x14ac:dyDescent="0.2">
      <c r="A7" s="99" t="s">
        <v>443</v>
      </c>
      <c r="B7" s="48" t="s">
        <v>444</v>
      </c>
      <c r="C7" s="88" t="s">
        <v>237</v>
      </c>
      <c r="D7" s="88" t="s">
        <v>237</v>
      </c>
      <c r="E7" s="89" t="s">
        <v>263</v>
      </c>
      <c r="F7" s="49" t="s">
        <v>445</v>
      </c>
      <c r="G7" s="50" t="s">
        <v>446</v>
      </c>
      <c r="H7" s="90" t="s">
        <v>447</v>
      </c>
      <c r="I7" s="51" t="s">
        <v>448</v>
      </c>
      <c r="J7" s="52" t="s">
        <v>78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93C1D"/>
  </sheetPr>
  <dimension ref="A1:I45"/>
  <sheetViews>
    <sheetView showGridLines="0" topLeftCell="A22" zoomScaleNormal="100" workbookViewId="0">
      <selection sqref="A1:I1"/>
    </sheetView>
  </sheetViews>
  <sheetFormatPr baseColWidth="10" defaultColWidth="8.6640625" defaultRowHeight="15" x14ac:dyDescent="0.2"/>
  <cols>
    <col min="1" max="1" width="30" customWidth="1"/>
    <col min="2" max="9" width="10" customWidth="1"/>
  </cols>
  <sheetData>
    <row r="1" spans="1:9" ht="32" customHeight="1" x14ac:dyDescent="0.2">
      <c r="A1" s="157" t="s">
        <v>450</v>
      </c>
      <c r="B1" s="158"/>
      <c r="C1" s="158"/>
      <c r="D1" s="158"/>
      <c r="E1" s="158"/>
      <c r="F1" s="158"/>
      <c r="G1" s="158"/>
      <c r="H1" s="158"/>
      <c r="I1" s="158"/>
    </row>
    <row r="2" spans="1:9" ht="15" customHeight="1" x14ac:dyDescent="0.2">
      <c r="A2" s="60"/>
      <c r="B2" s="61"/>
      <c r="C2" s="61"/>
      <c r="D2" s="61"/>
      <c r="E2" s="61"/>
      <c r="F2" s="61"/>
      <c r="G2" s="61"/>
      <c r="H2" s="61"/>
      <c r="I2" s="61"/>
    </row>
    <row r="3" spans="1:9" ht="26" customHeight="1" x14ac:dyDescent="0.2">
      <c r="A3" s="95" t="s">
        <v>451</v>
      </c>
      <c r="B3" s="95" t="s">
        <v>452</v>
      </c>
      <c r="C3" s="95" t="s">
        <v>453</v>
      </c>
      <c r="D3" s="95" t="s">
        <v>454</v>
      </c>
      <c r="E3" s="95" t="s">
        <v>455</v>
      </c>
      <c r="F3" s="95" t="s">
        <v>456</v>
      </c>
      <c r="G3" s="95" t="s">
        <v>457</v>
      </c>
      <c r="H3" s="95" t="s">
        <v>458</v>
      </c>
      <c r="I3" s="95" t="s">
        <v>459</v>
      </c>
    </row>
    <row r="4" spans="1:9" ht="20" customHeight="1" x14ac:dyDescent="0.2">
      <c r="A4" s="169" t="s">
        <v>460</v>
      </c>
      <c r="B4" s="170"/>
      <c r="C4" s="170"/>
      <c r="D4" s="170"/>
      <c r="E4" s="170"/>
      <c r="F4" s="170"/>
      <c r="G4" s="170"/>
      <c r="H4" s="170"/>
      <c r="I4" s="170"/>
    </row>
    <row r="5" spans="1:9" ht="20" customHeight="1" x14ac:dyDescent="0.2">
      <c r="A5" s="101" t="s">
        <v>461</v>
      </c>
      <c r="B5" s="101"/>
      <c r="C5" s="101"/>
      <c r="D5" s="101"/>
      <c r="E5" s="101"/>
      <c r="F5" s="101"/>
      <c r="G5" s="101"/>
      <c r="H5" s="101"/>
      <c r="I5" s="101"/>
    </row>
    <row r="6" spans="1:9" ht="20" customHeight="1" x14ac:dyDescent="0.2">
      <c r="A6" s="101" t="s">
        <v>462</v>
      </c>
      <c r="B6" s="101"/>
      <c r="C6" s="101"/>
      <c r="D6" s="101"/>
      <c r="E6" s="101"/>
      <c r="F6" s="101"/>
      <c r="G6" s="101"/>
      <c r="H6" s="101"/>
      <c r="I6" s="101"/>
    </row>
    <row r="7" spans="1:9" ht="20" customHeight="1" x14ac:dyDescent="0.2">
      <c r="A7" s="101" t="s">
        <v>463</v>
      </c>
      <c r="B7" s="101"/>
      <c r="C7" s="101"/>
      <c r="D7" s="101"/>
      <c r="E7" s="101"/>
      <c r="F7" s="101"/>
      <c r="G7" s="101"/>
      <c r="H7" s="101"/>
      <c r="I7" s="101"/>
    </row>
    <row r="8" spans="1:9" ht="20" customHeight="1" x14ac:dyDescent="0.2">
      <c r="A8" s="101" t="s">
        <v>464</v>
      </c>
      <c r="B8" s="101"/>
      <c r="C8" s="101"/>
      <c r="D8" s="101"/>
      <c r="E8" s="101"/>
      <c r="F8" s="101"/>
      <c r="G8" s="101"/>
      <c r="H8" s="101"/>
      <c r="I8" s="101"/>
    </row>
    <row r="9" spans="1:9" ht="20" customHeight="1" x14ac:dyDescent="0.2">
      <c r="A9" s="101" t="s">
        <v>465</v>
      </c>
      <c r="B9" s="101"/>
      <c r="C9" s="101"/>
      <c r="D9" s="101"/>
      <c r="E9" s="101"/>
      <c r="F9" s="101"/>
      <c r="G9" s="101"/>
      <c r="H9" s="101"/>
      <c r="I9" s="101"/>
    </row>
    <row r="10" spans="1:9" ht="20" customHeight="1" x14ac:dyDescent="0.2">
      <c r="A10" s="101" t="s">
        <v>466</v>
      </c>
      <c r="B10" s="101"/>
      <c r="C10" s="101"/>
      <c r="D10" s="101"/>
      <c r="E10" s="101"/>
      <c r="F10" s="101"/>
      <c r="G10" s="101"/>
      <c r="H10" s="101"/>
      <c r="I10" s="101"/>
    </row>
    <row r="11" spans="1:9" ht="20" customHeight="1" x14ac:dyDescent="0.2">
      <c r="A11" s="101" t="s">
        <v>238</v>
      </c>
      <c r="B11" s="101"/>
      <c r="C11" s="101"/>
      <c r="D11" s="101"/>
      <c r="E11" s="101"/>
      <c r="F11" s="101"/>
      <c r="G11" s="101"/>
      <c r="H11" s="101"/>
      <c r="I11" s="101"/>
    </row>
    <row r="12" spans="1:9" ht="20" customHeight="1" x14ac:dyDescent="0.2">
      <c r="A12" s="101" t="s">
        <v>449</v>
      </c>
      <c r="B12" s="101"/>
      <c r="C12" s="101"/>
      <c r="D12" s="101"/>
      <c r="E12" s="101"/>
      <c r="F12" s="101"/>
      <c r="G12" s="101"/>
      <c r="H12" s="101"/>
      <c r="I12" s="101"/>
    </row>
    <row r="13" spans="1:9" ht="20" customHeight="1" x14ac:dyDescent="0.2">
      <c r="A13" s="169" t="s">
        <v>467</v>
      </c>
      <c r="B13" s="170"/>
      <c r="C13" s="170"/>
      <c r="D13" s="170"/>
      <c r="E13" s="170"/>
      <c r="F13" s="170"/>
      <c r="G13" s="170"/>
      <c r="H13" s="170"/>
      <c r="I13" s="170"/>
    </row>
    <row r="14" spans="1:9" ht="20" customHeight="1" x14ac:dyDescent="0.2">
      <c r="A14" s="171" t="s">
        <v>468</v>
      </c>
      <c r="B14" s="164"/>
      <c r="C14" s="164"/>
      <c r="D14" s="164"/>
      <c r="E14" s="164"/>
      <c r="F14" s="164"/>
      <c r="G14" s="164"/>
      <c r="H14" s="164"/>
      <c r="I14" s="164"/>
    </row>
    <row r="15" spans="1:9" ht="20" customHeight="1" x14ac:dyDescent="0.2">
      <c r="A15" s="101" t="s">
        <v>469</v>
      </c>
      <c r="B15" s="101"/>
      <c r="C15" s="101"/>
      <c r="D15" s="101"/>
      <c r="E15" s="101"/>
      <c r="F15" s="101"/>
      <c r="G15" s="101"/>
      <c r="H15" s="101"/>
      <c r="I15" s="101"/>
    </row>
    <row r="16" spans="1:9" ht="20" customHeight="1" x14ac:dyDescent="0.2">
      <c r="A16" s="101" t="s">
        <v>470</v>
      </c>
      <c r="B16" s="101"/>
      <c r="C16" s="101"/>
      <c r="D16" s="101"/>
      <c r="E16" s="101"/>
      <c r="F16" s="101"/>
      <c r="G16" s="101"/>
      <c r="H16" s="101"/>
      <c r="I16" s="101"/>
    </row>
    <row r="17" spans="1:9" ht="20" customHeight="1" x14ac:dyDescent="0.2">
      <c r="A17" s="101" t="s">
        <v>471</v>
      </c>
      <c r="B17" s="101"/>
      <c r="C17" s="101"/>
      <c r="D17" s="101"/>
      <c r="E17" s="101"/>
      <c r="F17" s="101"/>
      <c r="G17" s="101"/>
      <c r="H17" s="101"/>
      <c r="I17" s="101"/>
    </row>
    <row r="18" spans="1:9" ht="20" customHeight="1" x14ac:dyDescent="0.2">
      <c r="A18" s="101" t="s">
        <v>472</v>
      </c>
      <c r="B18" s="101"/>
      <c r="C18" s="101"/>
      <c r="D18" s="101"/>
      <c r="E18" s="101"/>
      <c r="F18" s="101"/>
      <c r="G18" s="101"/>
      <c r="H18" s="101"/>
      <c r="I18" s="101"/>
    </row>
    <row r="19" spans="1:9" ht="20" customHeight="1" x14ac:dyDescent="0.2">
      <c r="A19" s="101" t="s">
        <v>473</v>
      </c>
      <c r="B19" s="101"/>
      <c r="C19" s="101"/>
      <c r="D19" s="101"/>
      <c r="E19" s="101"/>
      <c r="F19" s="101"/>
      <c r="G19" s="101"/>
      <c r="H19" s="101"/>
      <c r="I19" s="101"/>
    </row>
    <row r="20" spans="1:9" ht="20" customHeight="1" x14ac:dyDescent="0.2">
      <c r="A20" s="101" t="s">
        <v>474</v>
      </c>
      <c r="B20" s="101"/>
      <c r="C20" s="101"/>
      <c r="D20" s="101"/>
      <c r="E20" s="101"/>
      <c r="F20" s="101"/>
      <c r="G20" s="101"/>
      <c r="H20" s="101"/>
      <c r="I20" s="101"/>
    </row>
    <row r="21" spans="1:9" ht="20" customHeight="1" x14ac:dyDescent="0.2">
      <c r="A21" s="101" t="s">
        <v>475</v>
      </c>
      <c r="B21" s="101"/>
      <c r="C21" s="101"/>
      <c r="D21" s="101"/>
      <c r="E21" s="101"/>
      <c r="F21" s="101"/>
      <c r="G21" s="101"/>
      <c r="H21" s="101"/>
      <c r="I21" s="101"/>
    </row>
    <row r="22" spans="1:9" ht="20" customHeight="1" x14ac:dyDescent="0.2">
      <c r="A22" s="101" t="s">
        <v>476</v>
      </c>
      <c r="B22" s="101"/>
      <c r="C22" s="101"/>
      <c r="D22" s="101"/>
      <c r="E22" s="101"/>
      <c r="F22" s="101"/>
      <c r="G22" s="101"/>
      <c r="H22" s="101"/>
      <c r="I22" s="101"/>
    </row>
    <row r="23" spans="1:9" ht="15" customHeight="1" x14ac:dyDescent="0.2">
      <c r="A23" s="60"/>
      <c r="B23" s="61"/>
      <c r="C23" s="61"/>
      <c r="D23" s="61"/>
      <c r="E23" s="61"/>
      <c r="F23" s="61"/>
      <c r="G23" s="61"/>
      <c r="H23" s="61"/>
      <c r="I23" s="61"/>
    </row>
    <row r="24" spans="1:9" ht="15" customHeight="1" x14ac:dyDescent="0.2">
      <c r="A24" s="172"/>
      <c r="B24" s="160"/>
      <c r="C24" s="160"/>
      <c r="D24" s="160"/>
      <c r="E24" s="160"/>
      <c r="F24" s="160"/>
      <c r="G24" s="160"/>
      <c r="H24" s="160"/>
      <c r="I24" s="160"/>
    </row>
    <row r="25" spans="1:9" ht="20" customHeight="1" x14ac:dyDescent="0.2">
      <c r="A25" s="96" t="s">
        <v>477</v>
      </c>
      <c r="B25" s="96"/>
      <c r="C25" s="96"/>
      <c r="D25" s="96"/>
      <c r="E25" s="96"/>
      <c r="F25" s="96"/>
      <c r="G25" s="96"/>
      <c r="H25" s="96"/>
      <c r="I25" s="96"/>
    </row>
    <row r="26" spans="1:9" ht="15" customHeight="1" x14ac:dyDescent="0.2">
      <c r="A26" s="60" t="s">
        <v>461</v>
      </c>
      <c r="B26" s="62" t="str">
        <f t="shared" ref="B26:B33" si="0">IF(AND(ISNUMBER(B5),ISNUMBER(B5),B5&lt;&gt;0),(B5-B5)/B5,"")</f>
        <v/>
      </c>
      <c r="C26" s="62" t="str">
        <f t="shared" ref="C26:C33" si="1">IF(AND(ISNUMBER(B5),ISNUMBER(C5),B5&lt;&gt;0),(C5-B5)/B5,"")</f>
        <v/>
      </c>
      <c r="D26" s="62" t="str">
        <f t="shared" ref="D26:D33" si="2">IF(AND(ISNUMBER(B5),ISNUMBER(D5),B5&lt;&gt;0),(D5-B5)/B5,"")</f>
        <v/>
      </c>
      <c r="E26" s="62" t="str">
        <f t="shared" ref="E26:E33" si="3">IF(AND(ISNUMBER(B5),ISNUMBER(E5),B5&lt;&gt;0),(E5-B5)/B5,"")</f>
        <v/>
      </c>
      <c r="F26" s="62" t="str">
        <f t="shared" ref="F26:F33" si="4">IF(AND(ISNUMBER(B5),ISNUMBER(F5),B5&lt;&gt;0),(F5-B5)/B5,"")</f>
        <v/>
      </c>
      <c r="G26" s="62" t="str">
        <f t="shared" ref="G26:G33" si="5">IF(AND(ISNUMBER(B5),ISNUMBER(G5),B5&lt;&gt;0),(G5-B5)/B5,"")</f>
        <v/>
      </c>
      <c r="H26" s="62" t="str">
        <f t="shared" ref="H26:H33" si="6">IF(AND(ISNUMBER(B5),ISNUMBER(H5),B5&lt;&gt;0),(H5-B5)/B5,"")</f>
        <v/>
      </c>
      <c r="I26" s="62" t="str">
        <f t="shared" ref="I26:I33" si="7">IF(AND(ISNUMBER(B5),ISNUMBER(I5),B5&lt;&gt;0),(I5-B5)/B5,"")</f>
        <v/>
      </c>
    </row>
    <row r="27" spans="1:9" ht="15" customHeight="1" x14ac:dyDescent="0.2">
      <c r="A27" s="60" t="s">
        <v>462</v>
      </c>
      <c r="B27" s="62" t="str">
        <f t="shared" si="0"/>
        <v/>
      </c>
      <c r="C27" s="62" t="str">
        <f t="shared" si="1"/>
        <v/>
      </c>
      <c r="D27" s="62" t="str">
        <f t="shared" si="2"/>
        <v/>
      </c>
      <c r="E27" s="62" t="str">
        <f t="shared" si="3"/>
        <v/>
      </c>
      <c r="F27" s="62" t="str">
        <f t="shared" si="4"/>
        <v/>
      </c>
      <c r="G27" s="62" t="str">
        <f t="shared" si="5"/>
        <v/>
      </c>
      <c r="H27" s="62" t="str">
        <f t="shared" si="6"/>
        <v/>
      </c>
      <c r="I27" s="62" t="str">
        <f t="shared" si="7"/>
        <v/>
      </c>
    </row>
    <row r="28" spans="1:9" ht="15" customHeight="1" x14ac:dyDescent="0.2">
      <c r="A28" s="60" t="s">
        <v>463</v>
      </c>
      <c r="B28" s="62" t="str">
        <f t="shared" si="0"/>
        <v/>
      </c>
      <c r="C28" s="62" t="str">
        <f t="shared" si="1"/>
        <v/>
      </c>
      <c r="D28" s="62" t="str">
        <f t="shared" si="2"/>
        <v/>
      </c>
      <c r="E28" s="62" t="str">
        <f t="shared" si="3"/>
        <v/>
      </c>
      <c r="F28" s="62" t="str">
        <f t="shared" si="4"/>
        <v/>
      </c>
      <c r="G28" s="62" t="str">
        <f t="shared" si="5"/>
        <v/>
      </c>
      <c r="H28" s="62" t="str">
        <f t="shared" si="6"/>
        <v/>
      </c>
      <c r="I28" s="62" t="str">
        <f t="shared" si="7"/>
        <v/>
      </c>
    </row>
    <row r="29" spans="1:9" ht="15" customHeight="1" x14ac:dyDescent="0.2">
      <c r="A29" s="60" t="s">
        <v>464</v>
      </c>
      <c r="B29" s="62" t="str">
        <f t="shared" si="0"/>
        <v/>
      </c>
      <c r="C29" s="62" t="str">
        <f t="shared" si="1"/>
        <v/>
      </c>
      <c r="D29" s="62" t="str">
        <f t="shared" si="2"/>
        <v/>
      </c>
      <c r="E29" s="62" t="str">
        <f t="shared" si="3"/>
        <v/>
      </c>
      <c r="F29" s="62" t="str">
        <f t="shared" si="4"/>
        <v/>
      </c>
      <c r="G29" s="62" t="str">
        <f t="shared" si="5"/>
        <v/>
      </c>
      <c r="H29" s="62" t="str">
        <f t="shared" si="6"/>
        <v/>
      </c>
      <c r="I29" s="62" t="str">
        <f t="shared" si="7"/>
        <v/>
      </c>
    </row>
    <row r="30" spans="1:9" ht="15" customHeight="1" x14ac:dyDescent="0.2">
      <c r="A30" s="60" t="s">
        <v>465</v>
      </c>
      <c r="B30" s="62" t="str">
        <f t="shared" si="0"/>
        <v/>
      </c>
      <c r="C30" s="62" t="str">
        <f t="shared" si="1"/>
        <v/>
      </c>
      <c r="D30" s="62" t="str">
        <f t="shared" si="2"/>
        <v/>
      </c>
      <c r="E30" s="62" t="str">
        <f t="shared" si="3"/>
        <v/>
      </c>
      <c r="F30" s="62" t="str">
        <f t="shared" si="4"/>
        <v/>
      </c>
      <c r="G30" s="62" t="str">
        <f t="shared" si="5"/>
        <v/>
      </c>
      <c r="H30" s="62" t="str">
        <f t="shared" si="6"/>
        <v/>
      </c>
      <c r="I30" s="62" t="str">
        <f t="shared" si="7"/>
        <v/>
      </c>
    </row>
    <row r="31" spans="1:9" ht="15" customHeight="1" x14ac:dyDescent="0.2">
      <c r="A31" s="60" t="s">
        <v>466</v>
      </c>
      <c r="B31" s="62" t="str">
        <f t="shared" si="0"/>
        <v/>
      </c>
      <c r="C31" s="62" t="str">
        <f t="shared" si="1"/>
        <v/>
      </c>
      <c r="D31" s="62" t="str">
        <f t="shared" si="2"/>
        <v/>
      </c>
      <c r="E31" s="62" t="str">
        <f t="shared" si="3"/>
        <v/>
      </c>
      <c r="F31" s="62" t="str">
        <f t="shared" si="4"/>
        <v/>
      </c>
      <c r="G31" s="62" t="str">
        <f t="shared" si="5"/>
        <v/>
      </c>
      <c r="H31" s="62" t="str">
        <f t="shared" si="6"/>
        <v/>
      </c>
      <c r="I31" s="62" t="str">
        <f t="shared" si="7"/>
        <v/>
      </c>
    </row>
    <row r="32" spans="1:9" ht="15" customHeight="1" x14ac:dyDescent="0.2">
      <c r="A32" s="60" t="s">
        <v>238</v>
      </c>
      <c r="B32" s="62" t="str">
        <f t="shared" si="0"/>
        <v/>
      </c>
      <c r="C32" s="62" t="str">
        <f t="shared" si="1"/>
        <v/>
      </c>
      <c r="D32" s="62" t="str">
        <f t="shared" si="2"/>
        <v/>
      </c>
      <c r="E32" s="62" t="str">
        <f t="shared" si="3"/>
        <v/>
      </c>
      <c r="F32" s="62" t="str">
        <f t="shared" si="4"/>
        <v/>
      </c>
      <c r="G32" s="62" t="str">
        <f t="shared" si="5"/>
        <v/>
      </c>
      <c r="H32" s="62" t="str">
        <f t="shared" si="6"/>
        <v/>
      </c>
      <c r="I32" s="62" t="str">
        <f t="shared" si="7"/>
        <v/>
      </c>
    </row>
    <row r="33" spans="1:9" ht="15" customHeight="1" x14ac:dyDescent="0.2">
      <c r="A33" s="60" t="s">
        <v>449</v>
      </c>
      <c r="B33" s="62" t="str">
        <f t="shared" si="0"/>
        <v/>
      </c>
      <c r="C33" s="62" t="str">
        <f t="shared" si="1"/>
        <v/>
      </c>
      <c r="D33" s="62" t="str">
        <f t="shared" si="2"/>
        <v/>
      </c>
      <c r="E33" s="62" t="str">
        <f t="shared" si="3"/>
        <v/>
      </c>
      <c r="F33" s="62" t="str">
        <f t="shared" si="4"/>
        <v/>
      </c>
      <c r="G33" s="62" t="str">
        <f t="shared" si="5"/>
        <v/>
      </c>
      <c r="H33" s="62" t="str">
        <f t="shared" si="6"/>
        <v/>
      </c>
      <c r="I33" s="62" t="str">
        <f t="shared" si="7"/>
        <v/>
      </c>
    </row>
    <row r="34" spans="1:9" ht="15" customHeight="1" x14ac:dyDescent="0.2">
      <c r="A34" s="60"/>
      <c r="B34" s="61"/>
      <c r="C34" s="61"/>
      <c r="D34" s="61"/>
      <c r="E34" s="61"/>
      <c r="F34" s="61"/>
      <c r="G34" s="61"/>
      <c r="H34" s="61"/>
      <c r="I34" s="61"/>
    </row>
    <row r="35" spans="1:9" ht="20" customHeight="1" x14ac:dyDescent="0.2">
      <c r="A35" s="169" t="s">
        <v>478</v>
      </c>
      <c r="B35" s="170"/>
      <c r="C35" s="170"/>
      <c r="D35" s="170"/>
      <c r="E35" s="170"/>
      <c r="F35" s="170"/>
      <c r="G35" s="170"/>
      <c r="H35" s="170"/>
      <c r="I35" s="170"/>
    </row>
    <row r="36" spans="1:9" ht="15" customHeight="1" x14ac:dyDescent="0.2">
      <c r="A36" s="60" t="s">
        <v>468</v>
      </c>
      <c r="B36" s="62" t="str">
        <f t="shared" ref="B36:B44" si="8">IF(AND(ISNUMBER(B14),ISNUMBER(B14),B14&lt;&gt;0),(B14-B14)/B14,"")</f>
        <v/>
      </c>
      <c r="C36" s="62" t="str">
        <f t="shared" ref="C36:C44" si="9">IF(AND(ISNUMBER(B14),ISNUMBER(C14),B14&lt;&gt;0),(C14-B14)/B14,"")</f>
        <v/>
      </c>
      <c r="D36" s="62" t="str">
        <f t="shared" ref="D36:D44" si="10">IF(AND(ISNUMBER(B14),ISNUMBER(D14),B14&lt;&gt;0),(D14-B14)/B14,"")</f>
        <v/>
      </c>
      <c r="E36" s="62" t="str">
        <f t="shared" ref="E36:E44" si="11">IF(AND(ISNUMBER(B14),ISNUMBER(E14),B14&lt;&gt;0),(E14-B14)/B14,"")</f>
        <v/>
      </c>
      <c r="F36" s="62" t="str">
        <f t="shared" ref="F36:F44" si="12">IF(AND(ISNUMBER(B14),ISNUMBER(F14),B14&lt;&gt;0),(F14-B14)/B14,"")</f>
        <v/>
      </c>
      <c r="G36" s="62" t="str">
        <f t="shared" ref="G36:G44" si="13">IF(AND(ISNUMBER(B14),ISNUMBER(G14),B14&lt;&gt;0),(G14-B14)/B14,"")</f>
        <v/>
      </c>
      <c r="H36" s="62" t="str">
        <f t="shared" ref="H36:H44" si="14">IF(AND(ISNUMBER(B14),ISNUMBER(H14),B14&lt;&gt;0),(H14-B14)/B14,"")</f>
        <v/>
      </c>
      <c r="I36" s="62" t="str">
        <f t="shared" ref="I36:I44" si="15">IF(AND(ISNUMBER(B14),ISNUMBER(I14),B14&lt;&gt;0),(I14-B14)/B14,"")</f>
        <v/>
      </c>
    </row>
    <row r="37" spans="1:9" ht="15" customHeight="1" x14ac:dyDescent="0.2">
      <c r="A37" s="60" t="s">
        <v>469</v>
      </c>
      <c r="B37" s="62" t="str">
        <f t="shared" si="8"/>
        <v/>
      </c>
      <c r="C37" s="62" t="str">
        <f t="shared" si="9"/>
        <v/>
      </c>
      <c r="D37" s="62" t="str">
        <f t="shared" si="10"/>
        <v/>
      </c>
      <c r="E37" s="62" t="str">
        <f t="shared" si="11"/>
        <v/>
      </c>
      <c r="F37" s="62" t="str">
        <f t="shared" si="12"/>
        <v/>
      </c>
      <c r="G37" s="62" t="str">
        <f t="shared" si="13"/>
        <v/>
      </c>
      <c r="H37" s="62" t="str">
        <f t="shared" si="14"/>
        <v/>
      </c>
      <c r="I37" s="62" t="str">
        <f t="shared" si="15"/>
        <v/>
      </c>
    </row>
    <row r="38" spans="1:9" ht="15" customHeight="1" x14ac:dyDescent="0.2">
      <c r="A38" s="60" t="s">
        <v>470</v>
      </c>
      <c r="B38" s="62" t="str">
        <f t="shared" si="8"/>
        <v/>
      </c>
      <c r="C38" s="62" t="str">
        <f t="shared" si="9"/>
        <v/>
      </c>
      <c r="D38" s="62" t="str">
        <f t="shared" si="10"/>
        <v/>
      </c>
      <c r="E38" s="62" t="str">
        <f t="shared" si="11"/>
        <v/>
      </c>
      <c r="F38" s="62" t="str">
        <f t="shared" si="12"/>
        <v/>
      </c>
      <c r="G38" s="62" t="str">
        <f t="shared" si="13"/>
        <v/>
      </c>
      <c r="H38" s="62" t="str">
        <f t="shared" si="14"/>
        <v/>
      </c>
      <c r="I38" s="62" t="str">
        <f t="shared" si="15"/>
        <v/>
      </c>
    </row>
    <row r="39" spans="1:9" ht="15" customHeight="1" x14ac:dyDescent="0.2">
      <c r="A39" s="60" t="s">
        <v>471</v>
      </c>
      <c r="B39" s="62" t="str">
        <f t="shared" si="8"/>
        <v/>
      </c>
      <c r="C39" s="62" t="str">
        <f t="shared" si="9"/>
        <v/>
      </c>
      <c r="D39" s="62" t="str">
        <f t="shared" si="10"/>
        <v/>
      </c>
      <c r="E39" s="62" t="str">
        <f t="shared" si="11"/>
        <v/>
      </c>
      <c r="F39" s="62" t="str">
        <f t="shared" si="12"/>
        <v/>
      </c>
      <c r="G39" s="62" t="str">
        <f t="shared" si="13"/>
        <v/>
      </c>
      <c r="H39" s="62" t="str">
        <f t="shared" si="14"/>
        <v/>
      </c>
      <c r="I39" s="62" t="str">
        <f t="shared" si="15"/>
        <v/>
      </c>
    </row>
    <row r="40" spans="1:9" ht="15" customHeight="1" x14ac:dyDescent="0.2">
      <c r="A40" s="60" t="s">
        <v>472</v>
      </c>
      <c r="B40" s="62" t="str">
        <f t="shared" si="8"/>
        <v/>
      </c>
      <c r="C40" s="62" t="str">
        <f t="shared" si="9"/>
        <v/>
      </c>
      <c r="D40" s="62" t="str">
        <f t="shared" si="10"/>
        <v/>
      </c>
      <c r="E40" s="62" t="str">
        <f t="shared" si="11"/>
        <v/>
      </c>
      <c r="F40" s="62" t="str">
        <f t="shared" si="12"/>
        <v/>
      </c>
      <c r="G40" s="62" t="str">
        <f t="shared" si="13"/>
        <v/>
      </c>
      <c r="H40" s="62" t="str">
        <f t="shared" si="14"/>
        <v/>
      </c>
      <c r="I40" s="62" t="str">
        <f t="shared" si="15"/>
        <v/>
      </c>
    </row>
    <row r="41" spans="1:9" ht="15" customHeight="1" x14ac:dyDescent="0.2">
      <c r="A41" s="60" t="s">
        <v>473</v>
      </c>
      <c r="B41" s="62" t="str">
        <f t="shared" si="8"/>
        <v/>
      </c>
      <c r="C41" s="62" t="str">
        <f t="shared" si="9"/>
        <v/>
      </c>
      <c r="D41" s="62" t="str">
        <f t="shared" si="10"/>
        <v/>
      </c>
      <c r="E41" s="62" t="str">
        <f t="shared" si="11"/>
        <v/>
      </c>
      <c r="F41" s="62" t="str">
        <f t="shared" si="12"/>
        <v/>
      </c>
      <c r="G41" s="62" t="str">
        <f t="shared" si="13"/>
        <v/>
      </c>
      <c r="H41" s="62" t="str">
        <f t="shared" si="14"/>
        <v/>
      </c>
      <c r="I41" s="62" t="str">
        <f t="shared" si="15"/>
        <v/>
      </c>
    </row>
    <row r="42" spans="1:9" ht="15" customHeight="1" x14ac:dyDescent="0.2">
      <c r="A42" s="60" t="s">
        <v>474</v>
      </c>
      <c r="B42" s="62" t="str">
        <f t="shared" si="8"/>
        <v/>
      </c>
      <c r="C42" s="62" t="str">
        <f t="shared" si="9"/>
        <v/>
      </c>
      <c r="D42" s="62" t="str">
        <f t="shared" si="10"/>
        <v/>
      </c>
      <c r="E42" s="62" t="str">
        <f t="shared" si="11"/>
        <v/>
      </c>
      <c r="F42" s="62" t="str">
        <f t="shared" si="12"/>
        <v/>
      </c>
      <c r="G42" s="62" t="str">
        <f t="shared" si="13"/>
        <v/>
      </c>
      <c r="H42" s="62" t="str">
        <f t="shared" si="14"/>
        <v/>
      </c>
      <c r="I42" s="62" t="str">
        <f t="shared" si="15"/>
        <v/>
      </c>
    </row>
    <row r="43" spans="1:9" ht="15" customHeight="1" x14ac:dyDescent="0.2">
      <c r="A43" s="60" t="s">
        <v>475</v>
      </c>
      <c r="B43" s="62" t="str">
        <f t="shared" si="8"/>
        <v/>
      </c>
      <c r="C43" s="62" t="str">
        <f t="shared" si="9"/>
        <v/>
      </c>
      <c r="D43" s="62" t="str">
        <f t="shared" si="10"/>
        <v/>
      </c>
      <c r="E43" s="62" t="str">
        <f t="shared" si="11"/>
        <v/>
      </c>
      <c r="F43" s="62" t="str">
        <f t="shared" si="12"/>
        <v/>
      </c>
      <c r="G43" s="62" t="str">
        <f t="shared" si="13"/>
        <v/>
      </c>
      <c r="H43" s="62" t="str">
        <f t="shared" si="14"/>
        <v/>
      </c>
      <c r="I43" s="62" t="str">
        <f t="shared" si="15"/>
        <v/>
      </c>
    </row>
    <row r="44" spans="1:9" ht="15" customHeight="1" x14ac:dyDescent="0.2">
      <c r="A44" s="60" t="s">
        <v>476</v>
      </c>
      <c r="B44" s="62" t="str">
        <f t="shared" si="8"/>
        <v/>
      </c>
      <c r="C44" s="62" t="str">
        <f t="shared" si="9"/>
        <v/>
      </c>
      <c r="D44" s="62" t="str">
        <f t="shared" si="10"/>
        <v/>
      </c>
      <c r="E44" s="62" t="str">
        <f t="shared" si="11"/>
        <v/>
      </c>
      <c r="F44" s="62" t="str">
        <f t="shared" si="12"/>
        <v/>
      </c>
      <c r="G44" s="62" t="str">
        <f t="shared" si="13"/>
        <v/>
      </c>
      <c r="H44" s="62" t="str">
        <f t="shared" si="14"/>
        <v/>
      </c>
      <c r="I44" s="62" t="str">
        <f t="shared" si="15"/>
        <v/>
      </c>
    </row>
    <row r="45" spans="1:9" ht="20" customHeight="1" x14ac:dyDescent="0.2">
      <c r="A45" s="96" t="s">
        <v>479</v>
      </c>
      <c r="B45" s="96"/>
      <c r="C45" s="96"/>
      <c r="D45" s="96"/>
      <c r="E45" s="96"/>
      <c r="F45" s="96"/>
      <c r="G45" s="96"/>
      <c r="H45" s="96"/>
      <c r="I45" s="96"/>
    </row>
  </sheetData>
  <mergeCells count="6">
    <mergeCell ref="A13:I13"/>
    <mergeCell ref="A14:I14"/>
    <mergeCell ref="A1:I1"/>
    <mergeCell ref="A35:I35"/>
    <mergeCell ref="A4:I4"/>
    <mergeCell ref="A24:I2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85FA5"/>
  </sheetPr>
  <dimension ref="A1:G16"/>
  <sheetViews>
    <sheetView showGridLines="0" zoomScaleNormal="100" workbookViewId="0">
      <selection sqref="A1:G1"/>
    </sheetView>
  </sheetViews>
  <sheetFormatPr baseColWidth="10" defaultColWidth="8.6640625" defaultRowHeight="15" x14ac:dyDescent="0.2"/>
  <cols>
    <col min="1" max="1" width="12" customWidth="1"/>
    <col min="2" max="2" width="42" customWidth="1"/>
    <col min="3" max="3" width="24" customWidth="1"/>
    <col min="4" max="4" width="7" customWidth="1"/>
    <col min="5" max="5" width="18" customWidth="1"/>
    <col min="6" max="6" width="46" customWidth="1"/>
    <col min="7" max="7" width="32" customWidth="1"/>
  </cols>
  <sheetData>
    <row r="1" spans="1:7" ht="32" customHeight="1" x14ac:dyDescent="0.2">
      <c r="A1" s="157" t="s">
        <v>480</v>
      </c>
      <c r="B1" s="158"/>
      <c r="C1" s="158"/>
      <c r="D1" s="158"/>
      <c r="E1" s="158"/>
      <c r="F1" s="158"/>
      <c r="G1" s="158"/>
    </row>
    <row r="2" spans="1:7" ht="28" customHeight="1" x14ac:dyDescent="0.2">
      <c r="A2" s="78" t="s">
        <v>481</v>
      </c>
      <c r="B2" s="78" t="s">
        <v>482</v>
      </c>
      <c r="C2" s="78" t="s">
        <v>483</v>
      </c>
      <c r="D2" s="78" t="s">
        <v>484</v>
      </c>
      <c r="E2" s="78" t="s">
        <v>485</v>
      </c>
      <c r="F2" s="78" t="s">
        <v>486</v>
      </c>
      <c r="G2" s="78" t="s">
        <v>487</v>
      </c>
    </row>
    <row r="3" spans="1:7" ht="44" customHeight="1" x14ac:dyDescent="0.2">
      <c r="A3" s="84" t="s">
        <v>488</v>
      </c>
      <c r="B3" s="102" t="s">
        <v>489</v>
      </c>
      <c r="C3" s="63" t="s">
        <v>490</v>
      </c>
      <c r="D3" s="80" t="s">
        <v>491</v>
      </c>
      <c r="E3" s="64" t="s">
        <v>492</v>
      </c>
      <c r="F3" s="58" t="s">
        <v>493</v>
      </c>
      <c r="G3" s="59" t="s">
        <v>494</v>
      </c>
    </row>
    <row r="4" spans="1:7" ht="44" customHeight="1" x14ac:dyDescent="0.2">
      <c r="A4" s="84" t="s">
        <v>488</v>
      </c>
      <c r="B4" s="102" t="s">
        <v>495</v>
      </c>
      <c r="C4" s="63" t="s">
        <v>496</v>
      </c>
      <c r="D4" s="80" t="s">
        <v>497</v>
      </c>
      <c r="E4" s="64" t="s">
        <v>498</v>
      </c>
      <c r="F4" s="58" t="s">
        <v>499</v>
      </c>
      <c r="G4" s="59" t="s">
        <v>500</v>
      </c>
    </row>
    <row r="5" spans="1:7" ht="44" customHeight="1" x14ac:dyDescent="0.2">
      <c r="A5" s="84" t="s">
        <v>488</v>
      </c>
      <c r="B5" s="102" t="s">
        <v>501</v>
      </c>
      <c r="C5" s="63" t="s">
        <v>502</v>
      </c>
      <c r="D5" s="80" t="s">
        <v>503</v>
      </c>
      <c r="E5" s="64" t="s">
        <v>504</v>
      </c>
      <c r="F5" s="58" t="s">
        <v>505</v>
      </c>
      <c r="G5" s="59" t="s">
        <v>506</v>
      </c>
    </row>
    <row r="6" spans="1:7" ht="44" customHeight="1" x14ac:dyDescent="0.2">
      <c r="A6" s="84" t="s">
        <v>488</v>
      </c>
      <c r="B6" s="102" t="s">
        <v>507</v>
      </c>
      <c r="C6" s="63" t="s">
        <v>508</v>
      </c>
      <c r="D6" s="80" t="s">
        <v>509</v>
      </c>
      <c r="E6" s="64" t="s">
        <v>510</v>
      </c>
      <c r="F6" s="58" t="s">
        <v>511</v>
      </c>
      <c r="G6" s="59" t="s">
        <v>512</v>
      </c>
    </row>
    <row r="7" spans="1:7" ht="44" customHeight="1" x14ac:dyDescent="0.2">
      <c r="A7" s="38" t="s">
        <v>513</v>
      </c>
      <c r="B7" s="103" t="s">
        <v>514</v>
      </c>
      <c r="C7" s="65" t="s">
        <v>515</v>
      </c>
      <c r="D7" s="97" t="s">
        <v>516</v>
      </c>
      <c r="E7" s="66" t="s">
        <v>517</v>
      </c>
      <c r="F7" s="67" t="s">
        <v>518</v>
      </c>
      <c r="G7" s="68" t="s">
        <v>519</v>
      </c>
    </row>
    <row r="8" spans="1:7" ht="44" customHeight="1" x14ac:dyDescent="0.2">
      <c r="A8" s="38" t="s">
        <v>513</v>
      </c>
      <c r="B8" s="103" t="s">
        <v>520</v>
      </c>
      <c r="C8" s="65" t="s">
        <v>521</v>
      </c>
      <c r="D8" s="97" t="s">
        <v>509</v>
      </c>
      <c r="E8" s="66" t="s">
        <v>522</v>
      </c>
      <c r="F8" s="67" t="s">
        <v>523</v>
      </c>
      <c r="G8" s="68" t="s">
        <v>524</v>
      </c>
    </row>
    <row r="9" spans="1:7" ht="44" customHeight="1" x14ac:dyDescent="0.2">
      <c r="A9" s="38" t="s">
        <v>513</v>
      </c>
      <c r="B9" s="103" t="s">
        <v>525</v>
      </c>
      <c r="C9" s="65" t="s">
        <v>526</v>
      </c>
      <c r="D9" s="97" t="s">
        <v>527</v>
      </c>
      <c r="E9" s="66" t="s">
        <v>528</v>
      </c>
      <c r="F9" s="67" t="s">
        <v>529</v>
      </c>
      <c r="G9" s="68" t="s">
        <v>530</v>
      </c>
    </row>
    <row r="10" spans="1:7" ht="44" customHeight="1" x14ac:dyDescent="0.2">
      <c r="A10" s="38" t="s">
        <v>513</v>
      </c>
      <c r="B10" s="103" t="s">
        <v>531</v>
      </c>
      <c r="C10" s="65" t="s">
        <v>532</v>
      </c>
      <c r="D10" s="97" t="s">
        <v>527</v>
      </c>
      <c r="E10" s="66" t="s">
        <v>533</v>
      </c>
      <c r="F10" s="67" t="s">
        <v>534</v>
      </c>
      <c r="G10" s="68" t="s">
        <v>535</v>
      </c>
    </row>
    <row r="11" spans="1:7" ht="44" customHeight="1" x14ac:dyDescent="0.2">
      <c r="A11" s="33" t="s">
        <v>536</v>
      </c>
      <c r="B11" s="104" t="s">
        <v>537</v>
      </c>
      <c r="C11" s="19" t="s">
        <v>538</v>
      </c>
      <c r="D11" s="17" t="s">
        <v>497</v>
      </c>
      <c r="E11" s="69" t="s">
        <v>539</v>
      </c>
      <c r="F11" s="70" t="s">
        <v>540</v>
      </c>
      <c r="G11" s="71" t="s">
        <v>541</v>
      </c>
    </row>
    <row r="12" spans="1:7" ht="44" customHeight="1" x14ac:dyDescent="0.2">
      <c r="A12" s="33" t="s">
        <v>536</v>
      </c>
      <c r="B12" s="104" t="s">
        <v>542</v>
      </c>
      <c r="C12" s="19" t="s">
        <v>543</v>
      </c>
      <c r="D12" s="17" t="s">
        <v>491</v>
      </c>
      <c r="E12" s="69" t="s">
        <v>544</v>
      </c>
      <c r="F12" s="70" t="s">
        <v>545</v>
      </c>
      <c r="G12" s="71" t="s">
        <v>546</v>
      </c>
    </row>
    <row r="13" spans="1:7" ht="44" customHeight="1" x14ac:dyDescent="0.2">
      <c r="A13" s="33" t="s">
        <v>536</v>
      </c>
      <c r="B13" s="104" t="s">
        <v>547</v>
      </c>
      <c r="C13" s="19" t="s">
        <v>526</v>
      </c>
      <c r="D13" s="17" t="s">
        <v>548</v>
      </c>
      <c r="E13" s="69" t="s">
        <v>549</v>
      </c>
      <c r="F13" s="70" t="s">
        <v>550</v>
      </c>
      <c r="G13" s="71" t="s">
        <v>551</v>
      </c>
    </row>
    <row r="14" spans="1:7" ht="44" customHeight="1" x14ac:dyDescent="0.2">
      <c r="A14" s="33" t="s">
        <v>536</v>
      </c>
      <c r="B14" s="104" t="s">
        <v>552</v>
      </c>
      <c r="C14" s="19" t="s">
        <v>553</v>
      </c>
      <c r="D14" s="17" t="s">
        <v>554</v>
      </c>
      <c r="E14" s="69" t="s">
        <v>555</v>
      </c>
      <c r="F14" s="70" t="s">
        <v>556</v>
      </c>
      <c r="G14" s="71" t="s">
        <v>557</v>
      </c>
    </row>
    <row r="16" spans="1:7" ht="44" customHeight="1" x14ac:dyDescent="0.2">
      <c r="A16" s="173" t="s">
        <v>558</v>
      </c>
      <c r="B16" s="160"/>
      <c r="C16" s="160"/>
      <c r="D16" s="160"/>
      <c r="E16" s="160"/>
      <c r="F16" s="160"/>
      <c r="G16" s="160"/>
    </row>
  </sheetData>
  <mergeCells count="2">
    <mergeCell ref="A16:G16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F5E5A"/>
  </sheetPr>
  <dimension ref="A1:AJ40"/>
  <sheetViews>
    <sheetView showGridLines="0"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8" sqref="C8"/>
    </sheetView>
  </sheetViews>
  <sheetFormatPr baseColWidth="10" defaultColWidth="8.6640625" defaultRowHeight="15" x14ac:dyDescent="0.2"/>
  <cols>
    <col min="1" max="2" width="12" customWidth="1"/>
    <col min="3" max="3" width="33.83203125" bestFit="1" customWidth="1"/>
    <col min="4" max="4" width="14" customWidth="1"/>
    <col min="5" max="5" width="16" customWidth="1"/>
    <col min="6" max="7" width="14" customWidth="1"/>
    <col min="8" max="8" width="22" customWidth="1"/>
    <col min="9" max="10" width="14" customWidth="1"/>
    <col min="11" max="14" width="12" customWidth="1"/>
    <col min="15" max="18" width="13" customWidth="1"/>
    <col min="19" max="20" width="12" customWidth="1"/>
    <col min="21" max="23" width="14" customWidth="1"/>
    <col min="24" max="31" width="13" customWidth="1"/>
    <col min="32" max="33" width="14" customWidth="1"/>
    <col min="34" max="34" width="16" customWidth="1"/>
    <col min="35" max="35" width="30" customWidth="1"/>
    <col min="36" max="36" width="16" customWidth="1"/>
  </cols>
  <sheetData>
    <row r="1" spans="1:36" ht="32" customHeight="1" x14ac:dyDescent="0.2">
      <c r="A1" s="183" t="s">
        <v>559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4"/>
      <c r="AH1" s="184"/>
      <c r="AI1" s="184"/>
      <c r="AJ1" s="184"/>
    </row>
    <row r="2" spans="1:36" ht="22" customHeight="1" x14ac:dyDescent="0.2">
      <c r="A2" s="180" t="s">
        <v>560</v>
      </c>
      <c r="B2" s="181"/>
      <c r="C2" s="182"/>
      <c r="D2" s="180" t="s">
        <v>561</v>
      </c>
      <c r="E2" s="181"/>
      <c r="F2" s="181"/>
      <c r="G2" s="181"/>
      <c r="H2" s="182"/>
      <c r="I2" s="177" t="s">
        <v>562</v>
      </c>
      <c r="J2" s="178"/>
      <c r="K2" s="178"/>
      <c r="L2" s="178"/>
      <c r="M2" s="178"/>
      <c r="N2" s="178"/>
      <c r="O2" s="178"/>
      <c r="P2" s="178"/>
      <c r="Q2" s="178"/>
      <c r="R2" s="178"/>
      <c r="S2" s="179"/>
      <c r="T2" s="180" t="s">
        <v>563</v>
      </c>
      <c r="U2" s="182"/>
      <c r="V2" s="176" t="s">
        <v>564</v>
      </c>
      <c r="W2" s="160"/>
      <c r="X2" s="160"/>
      <c r="Y2" s="160"/>
      <c r="Z2" s="160"/>
      <c r="AA2" s="160"/>
      <c r="AB2" s="160"/>
      <c r="AC2" s="160"/>
      <c r="AD2" s="180" t="s">
        <v>565</v>
      </c>
      <c r="AE2" s="181"/>
      <c r="AF2" s="181"/>
      <c r="AG2" s="181"/>
      <c r="AH2" s="181"/>
      <c r="AI2" s="181"/>
      <c r="AJ2" s="182"/>
    </row>
    <row r="3" spans="1:36" ht="22" customHeight="1" x14ac:dyDescent="0.2">
      <c r="A3" s="78" t="s">
        <v>566</v>
      </c>
      <c r="B3" s="78" t="s">
        <v>567</v>
      </c>
      <c r="C3" s="78" t="s">
        <v>568</v>
      </c>
      <c r="D3" s="78" t="s">
        <v>569</v>
      </c>
      <c r="E3" s="78" t="s">
        <v>570</v>
      </c>
      <c r="F3" s="78" t="s">
        <v>571</v>
      </c>
      <c r="G3" s="78" t="s">
        <v>572</v>
      </c>
      <c r="H3" s="78" t="s">
        <v>573</v>
      </c>
      <c r="I3" s="78" t="s">
        <v>574</v>
      </c>
      <c r="J3" s="78" t="s">
        <v>575</v>
      </c>
      <c r="K3" s="78" t="s">
        <v>576</v>
      </c>
      <c r="L3" s="78" t="s">
        <v>577</v>
      </c>
      <c r="M3" s="78" t="s">
        <v>578</v>
      </c>
      <c r="N3" s="78" t="s">
        <v>579</v>
      </c>
      <c r="O3" s="78" t="s">
        <v>580</v>
      </c>
      <c r="P3" s="78" t="s">
        <v>581</v>
      </c>
      <c r="Q3" s="78" t="s">
        <v>582</v>
      </c>
      <c r="R3" s="78" t="s">
        <v>583</v>
      </c>
      <c r="S3" s="78" t="s">
        <v>584</v>
      </c>
      <c r="T3" s="78" t="s">
        <v>585</v>
      </c>
      <c r="U3" s="78" t="s">
        <v>586</v>
      </c>
      <c r="V3" s="78" t="s">
        <v>587</v>
      </c>
      <c r="W3" s="78" t="s">
        <v>588</v>
      </c>
      <c r="X3" s="78" t="s">
        <v>589</v>
      </c>
      <c r="Y3" s="78" t="s">
        <v>590</v>
      </c>
      <c r="Z3" s="78" t="s">
        <v>591</v>
      </c>
      <c r="AA3" s="78" t="s">
        <v>592</v>
      </c>
      <c r="AB3" s="78" t="s">
        <v>593</v>
      </c>
      <c r="AC3" s="78" t="s">
        <v>594</v>
      </c>
      <c r="AD3" s="78" t="s">
        <v>595</v>
      </c>
      <c r="AE3" s="78" t="s">
        <v>596</v>
      </c>
      <c r="AF3" s="78" t="s">
        <v>597</v>
      </c>
      <c r="AG3" s="78" t="s">
        <v>598</v>
      </c>
      <c r="AH3" s="78" t="s">
        <v>599</v>
      </c>
      <c r="AI3" s="78" t="s">
        <v>600</v>
      </c>
      <c r="AJ3" s="78" t="s">
        <v>601</v>
      </c>
    </row>
    <row r="4" spans="1:36" ht="19" customHeight="1" x14ac:dyDescent="0.2">
      <c r="A4" s="81" t="s">
        <v>602</v>
      </c>
      <c r="B4" s="35" t="s">
        <v>603</v>
      </c>
      <c r="C4" s="72" t="s">
        <v>604</v>
      </c>
      <c r="D4" s="72" t="s">
        <v>605</v>
      </c>
      <c r="E4" s="72" t="s">
        <v>123</v>
      </c>
      <c r="F4" s="72" t="s">
        <v>606</v>
      </c>
      <c r="G4" s="72" t="s">
        <v>607</v>
      </c>
      <c r="H4" s="72" t="s">
        <v>608</v>
      </c>
      <c r="I4" s="72" t="s">
        <v>609</v>
      </c>
      <c r="J4" s="72" t="s">
        <v>610</v>
      </c>
      <c r="K4" s="72" t="s">
        <v>611</v>
      </c>
      <c r="L4" s="73">
        <v>0.1</v>
      </c>
      <c r="M4" s="73">
        <v>1000</v>
      </c>
      <c r="N4" s="73">
        <v>0.8</v>
      </c>
      <c r="O4" s="73">
        <v>0.1</v>
      </c>
      <c r="P4" s="73">
        <v>50</v>
      </c>
      <c r="Q4" s="73">
        <v>0.1</v>
      </c>
      <c r="R4" s="73">
        <v>0.15</v>
      </c>
      <c r="S4" s="73">
        <v>0.16</v>
      </c>
      <c r="T4" s="72" t="s">
        <v>240</v>
      </c>
      <c r="U4" s="72" t="s">
        <v>612</v>
      </c>
      <c r="V4" s="72" t="s">
        <v>123</v>
      </c>
      <c r="W4" s="35" t="s">
        <v>613</v>
      </c>
      <c r="X4" s="74">
        <v>1.7</v>
      </c>
      <c r="Y4" s="35">
        <v>1.9</v>
      </c>
      <c r="Z4" s="74">
        <v>0.9</v>
      </c>
      <c r="AA4" s="35">
        <v>1</v>
      </c>
      <c r="AB4" s="35" t="s">
        <v>240</v>
      </c>
      <c r="AC4" s="35" t="s">
        <v>240</v>
      </c>
      <c r="AD4" s="35" t="s">
        <v>240</v>
      </c>
      <c r="AE4" s="72" t="s">
        <v>240</v>
      </c>
      <c r="AF4" s="72"/>
      <c r="AG4" s="72"/>
      <c r="AH4" s="72"/>
      <c r="AI4" s="72" t="s">
        <v>614</v>
      </c>
      <c r="AJ4" s="29"/>
    </row>
    <row r="5" spans="1:36" ht="15" customHeight="1" x14ac:dyDescent="0.2">
      <c r="A5" s="81" t="s">
        <v>615</v>
      </c>
      <c r="B5" s="35" t="s">
        <v>603</v>
      </c>
      <c r="C5" s="72" t="s">
        <v>616</v>
      </c>
      <c r="D5" s="72" t="s">
        <v>605</v>
      </c>
      <c r="E5" s="72" t="s">
        <v>123</v>
      </c>
      <c r="F5" s="72" t="s">
        <v>606</v>
      </c>
      <c r="G5" s="72" t="s">
        <v>607</v>
      </c>
      <c r="H5" s="72" t="s">
        <v>608</v>
      </c>
      <c r="I5" s="72" t="s">
        <v>609</v>
      </c>
      <c r="J5" s="72" t="s">
        <v>610</v>
      </c>
      <c r="K5" s="72" t="s">
        <v>611</v>
      </c>
      <c r="L5" s="73">
        <v>0.1</v>
      </c>
      <c r="M5" s="73">
        <v>1000</v>
      </c>
      <c r="N5" s="73">
        <v>0.8</v>
      </c>
      <c r="O5" s="73">
        <v>0.1</v>
      </c>
      <c r="P5" s="73">
        <v>50</v>
      </c>
      <c r="Q5" s="73">
        <v>0.1</v>
      </c>
      <c r="R5" s="73">
        <v>0.15</v>
      </c>
      <c r="S5" s="73">
        <v>0.16</v>
      </c>
      <c r="T5" s="72" t="s">
        <v>240</v>
      </c>
      <c r="U5" s="72" t="s">
        <v>612</v>
      </c>
      <c r="V5" s="72" t="s">
        <v>123</v>
      </c>
      <c r="W5" s="35" t="s">
        <v>617</v>
      </c>
      <c r="X5" s="74">
        <v>0.8</v>
      </c>
      <c r="Y5" s="35" t="s">
        <v>240</v>
      </c>
      <c r="Z5" s="74">
        <v>0</v>
      </c>
      <c r="AA5" s="35" t="s">
        <v>240</v>
      </c>
      <c r="AB5" s="35" t="s">
        <v>240</v>
      </c>
      <c r="AC5" s="35" t="s">
        <v>240</v>
      </c>
      <c r="AD5" s="35" t="s">
        <v>240</v>
      </c>
      <c r="AE5" s="72" t="s">
        <v>240</v>
      </c>
      <c r="AF5" s="72"/>
      <c r="AG5" s="72"/>
      <c r="AH5" s="72"/>
      <c r="AI5" s="72" t="s">
        <v>618</v>
      </c>
      <c r="AJ5" s="29"/>
    </row>
    <row r="6" spans="1:36" ht="15" customHeight="1" x14ac:dyDescent="0.2">
      <c r="A6" s="79" t="s">
        <v>619</v>
      </c>
      <c r="B6" s="33" t="s">
        <v>603</v>
      </c>
      <c r="C6" s="75" t="s">
        <v>620</v>
      </c>
      <c r="D6" s="75" t="s">
        <v>605</v>
      </c>
      <c r="E6" s="75" t="s">
        <v>123</v>
      </c>
      <c r="F6" s="75" t="s">
        <v>606</v>
      </c>
      <c r="G6" s="75" t="s">
        <v>607</v>
      </c>
      <c r="H6" s="75" t="s">
        <v>608</v>
      </c>
      <c r="I6" s="75" t="s">
        <v>609</v>
      </c>
      <c r="J6" s="75" t="s">
        <v>621</v>
      </c>
      <c r="K6" s="75" t="s">
        <v>611</v>
      </c>
      <c r="L6" s="76">
        <v>0.1</v>
      </c>
      <c r="M6" s="76">
        <v>1500</v>
      </c>
      <c r="N6" s="76">
        <v>0.3</v>
      </c>
      <c r="O6" s="76">
        <v>0.1</v>
      </c>
      <c r="P6" s="76">
        <v>50</v>
      </c>
      <c r="Q6" s="76">
        <v>0.1</v>
      </c>
      <c r="R6" s="76">
        <v>0.15</v>
      </c>
      <c r="S6" s="76">
        <v>0.16</v>
      </c>
      <c r="T6" s="75" t="s">
        <v>240</v>
      </c>
      <c r="U6" s="75" t="s">
        <v>612</v>
      </c>
      <c r="V6" s="75" t="s">
        <v>123</v>
      </c>
      <c r="W6" s="33" t="s">
        <v>617</v>
      </c>
      <c r="X6" s="77">
        <v>0.8</v>
      </c>
      <c r="Y6" s="33" t="s">
        <v>240</v>
      </c>
      <c r="Z6" s="33" t="s">
        <v>240</v>
      </c>
      <c r="AA6" s="33" t="s">
        <v>240</v>
      </c>
      <c r="AB6" s="33" t="s">
        <v>240</v>
      </c>
      <c r="AC6" s="33" t="s">
        <v>240</v>
      </c>
      <c r="AD6" s="33" t="s">
        <v>240</v>
      </c>
      <c r="AE6" s="75" t="s">
        <v>240</v>
      </c>
      <c r="AF6" s="75"/>
      <c r="AG6" s="75"/>
      <c r="AH6" s="75"/>
      <c r="AI6" s="75" t="s">
        <v>622</v>
      </c>
      <c r="AJ6" s="20"/>
    </row>
    <row r="7" spans="1:36" ht="15" customHeight="1" x14ac:dyDescent="0.2">
      <c r="A7" s="81" t="s">
        <v>623</v>
      </c>
      <c r="B7" s="35" t="s">
        <v>603</v>
      </c>
      <c r="C7" s="72" t="s">
        <v>624</v>
      </c>
      <c r="D7" s="72" t="s">
        <v>605</v>
      </c>
      <c r="E7" s="72" t="s">
        <v>123</v>
      </c>
      <c r="F7" s="72" t="s">
        <v>606</v>
      </c>
      <c r="G7" s="72" t="s">
        <v>607</v>
      </c>
      <c r="H7" s="72" t="s">
        <v>608</v>
      </c>
      <c r="I7" s="72" t="s">
        <v>609</v>
      </c>
      <c r="J7" s="72" t="s">
        <v>625</v>
      </c>
      <c r="K7" s="72" t="s">
        <v>611</v>
      </c>
      <c r="L7" s="73">
        <v>0.1</v>
      </c>
      <c r="M7" s="73">
        <v>2000</v>
      </c>
      <c r="N7" s="73">
        <v>0</v>
      </c>
      <c r="O7" s="73">
        <v>0.1</v>
      </c>
      <c r="P7" s="73">
        <v>50</v>
      </c>
      <c r="Q7" s="73">
        <v>0.1</v>
      </c>
      <c r="R7" s="73">
        <v>0.15</v>
      </c>
      <c r="S7" s="73">
        <v>0.16</v>
      </c>
      <c r="T7" s="72" t="s">
        <v>240</v>
      </c>
      <c r="U7" s="72" t="s">
        <v>612</v>
      </c>
      <c r="V7" s="72" t="s">
        <v>123</v>
      </c>
      <c r="W7" s="35" t="s">
        <v>626</v>
      </c>
      <c r="X7" s="35" t="s">
        <v>240</v>
      </c>
      <c r="Y7" s="35" t="s">
        <v>240</v>
      </c>
      <c r="Z7" s="35" t="s">
        <v>240</v>
      </c>
      <c r="AA7" s="35" t="s">
        <v>240</v>
      </c>
      <c r="AB7" s="35" t="s">
        <v>240</v>
      </c>
      <c r="AC7" s="35" t="s">
        <v>240</v>
      </c>
      <c r="AD7" s="35" t="s">
        <v>240</v>
      </c>
      <c r="AE7" s="72" t="s">
        <v>240</v>
      </c>
      <c r="AF7" s="72"/>
      <c r="AG7" s="72"/>
      <c r="AH7" s="72"/>
      <c r="AI7" s="72" t="s">
        <v>627</v>
      </c>
      <c r="AJ7" s="29"/>
    </row>
    <row r="8" spans="1:36" ht="15" customHeight="1" x14ac:dyDescent="0.2">
      <c r="A8" s="79" t="s">
        <v>628</v>
      </c>
      <c r="B8" s="33" t="s">
        <v>603</v>
      </c>
      <c r="C8" s="75" t="s">
        <v>629</v>
      </c>
      <c r="D8" s="75" t="s">
        <v>605</v>
      </c>
      <c r="E8" s="75" t="s">
        <v>123</v>
      </c>
      <c r="F8" s="75" t="s">
        <v>606</v>
      </c>
      <c r="G8" s="75" t="s">
        <v>607</v>
      </c>
      <c r="H8" s="75" t="s">
        <v>608</v>
      </c>
      <c r="I8" s="75" t="s">
        <v>609</v>
      </c>
      <c r="J8" s="75" t="s">
        <v>630</v>
      </c>
      <c r="K8" s="75" t="s">
        <v>611</v>
      </c>
      <c r="L8" s="76">
        <v>0.1</v>
      </c>
      <c r="M8" s="76">
        <v>300</v>
      </c>
      <c r="N8" s="76">
        <v>0</v>
      </c>
      <c r="O8" s="76">
        <v>0.1</v>
      </c>
      <c r="P8" s="76">
        <v>50</v>
      </c>
      <c r="Q8" s="76">
        <v>0.05</v>
      </c>
      <c r="R8" s="76">
        <v>0.15</v>
      </c>
      <c r="S8" s="76">
        <v>0.25</v>
      </c>
      <c r="T8" s="75" t="s">
        <v>240</v>
      </c>
      <c r="U8" s="75" t="s">
        <v>612</v>
      </c>
      <c r="V8" s="75" t="s">
        <v>123</v>
      </c>
      <c r="W8" s="33" t="s">
        <v>631</v>
      </c>
      <c r="X8" s="33" t="s">
        <v>240</v>
      </c>
      <c r="Y8" s="77">
        <v>0.7</v>
      </c>
      <c r="Z8" s="77">
        <v>1.6</v>
      </c>
      <c r="AA8" s="77">
        <v>3</v>
      </c>
      <c r="AB8" s="77">
        <v>1</v>
      </c>
      <c r="AC8" s="77">
        <v>0.3</v>
      </c>
      <c r="AD8" s="33" t="s">
        <v>240</v>
      </c>
      <c r="AE8" s="75" t="s">
        <v>240</v>
      </c>
      <c r="AF8" s="75"/>
      <c r="AG8" s="75"/>
      <c r="AH8" s="75"/>
      <c r="AI8" s="75" t="s">
        <v>632</v>
      </c>
      <c r="AJ8" s="20"/>
    </row>
    <row r="9" spans="1:36" ht="15" customHeight="1" x14ac:dyDescent="0.2">
      <c r="A9" s="81" t="s">
        <v>633</v>
      </c>
      <c r="B9" s="35" t="s">
        <v>634</v>
      </c>
      <c r="C9" s="72" t="s">
        <v>635</v>
      </c>
      <c r="D9" s="72" t="s">
        <v>605</v>
      </c>
      <c r="E9" s="72" t="s">
        <v>123</v>
      </c>
      <c r="F9" s="72" t="s">
        <v>636</v>
      </c>
      <c r="G9" s="72" t="s">
        <v>607</v>
      </c>
      <c r="H9" s="72" t="s">
        <v>608</v>
      </c>
      <c r="I9" s="72" t="s">
        <v>609</v>
      </c>
      <c r="J9" s="72" t="s">
        <v>637</v>
      </c>
      <c r="K9" s="72" t="s">
        <v>611</v>
      </c>
      <c r="L9" s="73">
        <v>0.2</v>
      </c>
      <c r="M9" s="73">
        <v>150</v>
      </c>
      <c r="N9" s="73">
        <v>0.1</v>
      </c>
      <c r="O9" s="73">
        <v>0.1</v>
      </c>
      <c r="P9" s="73">
        <v>50</v>
      </c>
      <c r="Q9" s="73">
        <v>0.05</v>
      </c>
      <c r="R9" s="73">
        <v>0.15</v>
      </c>
      <c r="S9" s="73">
        <v>0.5</v>
      </c>
      <c r="T9" s="72" t="s">
        <v>240</v>
      </c>
      <c r="U9" s="72" t="s">
        <v>612</v>
      </c>
      <c r="V9" s="72" t="s">
        <v>123</v>
      </c>
      <c r="W9" s="35" t="s">
        <v>638</v>
      </c>
      <c r="X9" s="74">
        <v>2.8</v>
      </c>
      <c r="Y9" s="74">
        <v>5.4</v>
      </c>
      <c r="Z9" s="74">
        <v>11.1</v>
      </c>
      <c r="AA9" s="74">
        <v>9.1999999999999993</v>
      </c>
      <c r="AB9" s="74">
        <v>3.4</v>
      </c>
      <c r="AC9" s="74">
        <v>3.2</v>
      </c>
      <c r="AD9" s="35" t="s">
        <v>240</v>
      </c>
      <c r="AE9" s="72" t="s">
        <v>240</v>
      </c>
      <c r="AF9" s="72"/>
      <c r="AG9" s="72"/>
      <c r="AH9" s="72"/>
      <c r="AI9" s="72" t="s">
        <v>639</v>
      </c>
      <c r="AJ9" s="29"/>
    </row>
    <row r="10" spans="1:36" ht="15" customHeight="1" x14ac:dyDescent="0.2">
      <c r="A10" s="79" t="s">
        <v>640</v>
      </c>
      <c r="B10" s="33" t="s">
        <v>634</v>
      </c>
      <c r="C10" s="75" t="s">
        <v>641</v>
      </c>
      <c r="D10" s="75" t="s">
        <v>605</v>
      </c>
      <c r="E10" s="75" t="s">
        <v>123</v>
      </c>
      <c r="F10" s="75" t="s">
        <v>636</v>
      </c>
      <c r="G10" s="75" t="s">
        <v>607</v>
      </c>
      <c r="H10" s="75" t="s">
        <v>608</v>
      </c>
      <c r="I10" s="75" t="s">
        <v>609</v>
      </c>
      <c r="J10" s="75" t="s">
        <v>642</v>
      </c>
      <c r="K10" s="75" t="s">
        <v>611</v>
      </c>
      <c r="L10" s="76">
        <v>0.3</v>
      </c>
      <c r="M10" s="76">
        <v>100</v>
      </c>
      <c r="N10" s="76">
        <v>0.05</v>
      </c>
      <c r="O10" s="76">
        <v>0.1</v>
      </c>
      <c r="P10" s="76">
        <v>50</v>
      </c>
      <c r="Q10" s="76">
        <v>0.05</v>
      </c>
      <c r="R10" s="76">
        <v>0.15</v>
      </c>
      <c r="S10" s="76">
        <v>0.7</v>
      </c>
      <c r="T10" s="75" t="s">
        <v>240</v>
      </c>
      <c r="U10" s="75" t="s">
        <v>612</v>
      </c>
      <c r="V10" s="75" t="s">
        <v>123</v>
      </c>
      <c r="W10" s="33" t="s">
        <v>643</v>
      </c>
      <c r="X10" s="77">
        <v>0.3</v>
      </c>
      <c r="Y10" s="77">
        <v>1.3</v>
      </c>
      <c r="Z10" s="77">
        <v>65</v>
      </c>
      <c r="AA10" s="77">
        <v>2.8</v>
      </c>
      <c r="AB10" s="77">
        <v>7.8</v>
      </c>
      <c r="AC10" s="77">
        <v>0</v>
      </c>
      <c r="AD10" s="33" t="s">
        <v>240</v>
      </c>
      <c r="AE10" s="75" t="s">
        <v>240</v>
      </c>
      <c r="AF10" s="75"/>
      <c r="AG10" s="75"/>
      <c r="AH10" s="75"/>
      <c r="AI10" s="75" t="s">
        <v>644</v>
      </c>
      <c r="AJ10" s="20"/>
    </row>
    <row r="11" spans="1:36" ht="15" customHeight="1" x14ac:dyDescent="0.2">
      <c r="A11" s="81" t="s">
        <v>645</v>
      </c>
      <c r="B11" s="35" t="s">
        <v>634</v>
      </c>
      <c r="C11" s="72" t="s">
        <v>646</v>
      </c>
      <c r="D11" s="72" t="s">
        <v>605</v>
      </c>
      <c r="E11" s="72" t="s">
        <v>123</v>
      </c>
      <c r="F11" s="72" t="s">
        <v>636</v>
      </c>
      <c r="G11" s="72" t="s">
        <v>607</v>
      </c>
      <c r="H11" s="72" t="s">
        <v>608</v>
      </c>
      <c r="I11" s="72" t="s">
        <v>609</v>
      </c>
      <c r="J11" s="72" t="s">
        <v>647</v>
      </c>
      <c r="K11" s="72" t="s">
        <v>611</v>
      </c>
      <c r="L11" s="73">
        <v>0.2</v>
      </c>
      <c r="M11" s="73">
        <v>150</v>
      </c>
      <c r="N11" s="73">
        <v>0.05</v>
      </c>
      <c r="O11" s="73">
        <v>0.1</v>
      </c>
      <c r="P11" s="73">
        <v>50</v>
      </c>
      <c r="Q11" s="73">
        <v>0.05</v>
      </c>
      <c r="R11" s="73">
        <v>0.15</v>
      </c>
      <c r="S11" s="73">
        <v>0.5</v>
      </c>
      <c r="T11" s="72" t="s">
        <v>240</v>
      </c>
      <c r="U11" s="72" t="s">
        <v>612</v>
      </c>
      <c r="V11" s="72" t="s">
        <v>123</v>
      </c>
      <c r="W11" s="35" t="s">
        <v>648</v>
      </c>
      <c r="X11" s="74">
        <v>3.5</v>
      </c>
      <c r="Y11" s="74">
        <v>4.4000000000000004</v>
      </c>
      <c r="Z11" s="74">
        <v>4.5999999999999996</v>
      </c>
      <c r="AA11" s="74">
        <v>8.3000000000000007</v>
      </c>
      <c r="AB11" s="74">
        <v>19</v>
      </c>
      <c r="AC11" s="74">
        <v>7.6</v>
      </c>
      <c r="AD11" s="35" t="s">
        <v>240</v>
      </c>
      <c r="AE11" s="72" t="s">
        <v>240</v>
      </c>
      <c r="AF11" s="72"/>
      <c r="AG11" s="72"/>
      <c r="AH11" s="72"/>
      <c r="AI11" s="72" t="s">
        <v>649</v>
      </c>
      <c r="AJ11" s="29"/>
    </row>
    <row r="12" spans="1:36" ht="15" customHeight="1" x14ac:dyDescent="0.2">
      <c r="A12" s="79" t="s">
        <v>650</v>
      </c>
      <c r="B12" s="33" t="s">
        <v>634</v>
      </c>
      <c r="C12" s="75" t="s">
        <v>651</v>
      </c>
      <c r="D12" s="75" t="s">
        <v>605</v>
      </c>
      <c r="E12" s="75" t="s">
        <v>123</v>
      </c>
      <c r="F12" s="75" t="s">
        <v>636</v>
      </c>
      <c r="G12" s="75" t="s">
        <v>607</v>
      </c>
      <c r="H12" s="75" t="s">
        <v>608</v>
      </c>
      <c r="I12" s="75" t="s">
        <v>609</v>
      </c>
      <c r="J12" s="75" t="s">
        <v>647</v>
      </c>
      <c r="K12" s="75" t="s">
        <v>652</v>
      </c>
      <c r="L12" s="76">
        <v>0.2</v>
      </c>
      <c r="M12" s="76">
        <v>150</v>
      </c>
      <c r="N12" s="76">
        <v>0.05</v>
      </c>
      <c r="O12" s="76">
        <v>0.1</v>
      </c>
      <c r="P12" s="76">
        <v>50</v>
      </c>
      <c r="Q12" s="76">
        <v>0.05</v>
      </c>
      <c r="R12" s="76">
        <v>0.15</v>
      </c>
      <c r="S12" s="76">
        <v>0.5</v>
      </c>
      <c r="T12" s="75" t="s">
        <v>240</v>
      </c>
      <c r="U12" s="75" t="s">
        <v>612</v>
      </c>
      <c r="V12" s="75" t="s">
        <v>123</v>
      </c>
      <c r="W12" s="33" t="s">
        <v>653</v>
      </c>
      <c r="X12" s="77">
        <v>65</v>
      </c>
      <c r="Y12" s="77">
        <v>7.5</v>
      </c>
      <c r="Z12" s="77">
        <v>4.4000000000000004</v>
      </c>
      <c r="AA12" s="77">
        <v>9.5</v>
      </c>
      <c r="AB12" s="77">
        <v>16</v>
      </c>
      <c r="AC12" s="77">
        <v>57.4</v>
      </c>
      <c r="AD12" s="33" t="s">
        <v>240</v>
      </c>
      <c r="AE12" s="75" t="s">
        <v>240</v>
      </c>
      <c r="AF12" s="75"/>
      <c r="AG12" s="75"/>
      <c r="AH12" s="75"/>
      <c r="AI12" s="75" t="s">
        <v>654</v>
      </c>
      <c r="AJ12" s="20"/>
    </row>
    <row r="13" spans="1:36" ht="15" customHeight="1" x14ac:dyDescent="0.2">
      <c r="A13" s="81" t="s">
        <v>655</v>
      </c>
      <c r="B13" s="35" t="s">
        <v>634</v>
      </c>
      <c r="C13" s="72" t="s">
        <v>656</v>
      </c>
      <c r="D13" s="72" t="s">
        <v>605</v>
      </c>
      <c r="E13" s="72" t="s">
        <v>123</v>
      </c>
      <c r="F13" s="72" t="s">
        <v>636</v>
      </c>
      <c r="G13" s="72" t="s">
        <v>607</v>
      </c>
      <c r="H13" s="72" t="s">
        <v>608</v>
      </c>
      <c r="I13" s="72" t="s">
        <v>609</v>
      </c>
      <c r="J13" s="72" t="s">
        <v>637</v>
      </c>
      <c r="K13" s="72" t="s">
        <v>611</v>
      </c>
      <c r="L13" s="73">
        <v>0.2</v>
      </c>
      <c r="M13" s="73">
        <v>150</v>
      </c>
      <c r="N13" s="73">
        <v>0.1</v>
      </c>
      <c r="O13" s="73">
        <v>0.1</v>
      </c>
      <c r="P13" s="73">
        <v>50</v>
      </c>
      <c r="Q13" s="73">
        <v>0.05</v>
      </c>
      <c r="R13" s="73">
        <v>0.15</v>
      </c>
      <c r="S13" s="73">
        <v>0.5</v>
      </c>
      <c r="T13" s="72" t="s">
        <v>240</v>
      </c>
      <c r="U13" s="72" t="s">
        <v>612</v>
      </c>
      <c r="V13" s="72" t="s">
        <v>123</v>
      </c>
      <c r="W13" s="35" t="s">
        <v>657</v>
      </c>
      <c r="X13" s="35" t="s">
        <v>240</v>
      </c>
      <c r="Y13" s="35" t="s">
        <v>240</v>
      </c>
      <c r="Z13" s="35" t="s">
        <v>240</v>
      </c>
      <c r="AA13" s="35" t="s">
        <v>240</v>
      </c>
      <c r="AB13" s="35" t="s">
        <v>240</v>
      </c>
      <c r="AC13" s="35" t="s">
        <v>240</v>
      </c>
      <c r="AD13" s="74">
        <v>1.5</v>
      </c>
      <c r="AE13" s="73">
        <v>1.6</v>
      </c>
      <c r="AF13" s="72"/>
      <c r="AG13" s="72"/>
      <c r="AH13" s="72"/>
      <c r="AI13" s="72" t="s">
        <v>658</v>
      </c>
      <c r="AJ13" s="29"/>
    </row>
    <row r="14" spans="1:36" ht="15" customHeight="1" x14ac:dyDescent="0.2">
      <c r="A14" s="79" t="s">
        <v>659</v>
      </c>
      <c r="B14" s="33" t="s">
        <v>634</v>
      </c>
      <c r="C14" s="75" t="s">
        <v>660</v>
      </c>
      <c r="D14" s="75" t="s">
        <v>605</v>
      </c>
      <c r="E14" s="75" t="s">
        <v>123</v>
      </c>
      <c r="F14" s="75" t="s">
        <v>636</v>
      </c>
      <c r="G14" s="75" t="s">
        <v>607</v>
      </c>
      <c r="H14" s="75" t="s">
        <v>608</v>
      </c>
      <c r="I14" s="75" t="s">
        <v>609</v>
      </c>
      <c r="J14" s="75" t="s">
        <v>647</v>
      </c>
      <c r="K14" s="75" t="s">
        <v>652</v>
      </c>
      <c r="L14" s="76">
        <v>0.2</v>
      </c>
      <c r="M14" s="76">
        <v>150</v>
      </c>
      <c r="N14" s="76">
        <v>0.05</v>
      </c>
      <c r="O14" s="76">
        <v>0.1</v>
      </c>
      <c r="P14" s="76">
        <v>50</v>
      </c>
      <c r="Q14" s="76">
        <v>0.05</v>
      </c>
      <c r="R14" s="76">
        <v>0.15</v>
      </c>
      <c r="S14" s="76">
        <v>0.5</v>
      </c>
      <c r="T14" s="75" t="s">
        <v>240</v>
      </c>
      <c r="U14" s="75" t="s">
        <v>612</v>
      </c>
      <c r="V14" s="75" t="s">
        <v>123</v>
      </c>
      <c r="W14" s="33" t="s">
        <v>661</v>
      </c>
      <c r="X14" s="33" t="s">
        <v>240</v>
      </c>
      <c r="Y14" s="33" t="s">
        <v>240</v>
      </c>
      <c r="Z14" s="33" t="s">
        <v>240</v>
      </c>
      <c r="AA14" s="33" t="s">
        <v>240</v>
      </c>
      <c r="AB14" s="33" t="s">
        <v>240</v>
      </c>
      <c r="AC14" s="33" t="s">
        <v>240</v>
      </c>
      <c r="AD14" s="77">
        <v>414</v>
      </c>
      <c r="AE14" s="76">
        <v>0</v>
      </c>
      <c r="AF14" s="75"/>
      <c r="AG14" s="75"/>
      <c r="AH14" s="75"/>
      <c r="AI14" s="75" t="s">
        <v>662</v>
      </c>
      <c r="AJ14" s="20"/>
    </row>
    <row r="15" spans="1:36" ht="15" customHeight="1" x14ac:dyDescent="0.2">
      <c r="A15" s="81"/>
      <c r="B15" s="35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35"/>
      <c r="X15" s="35"/>
      <c r="Y15" s="35"/>
      <c r="Z15" s="35"/>
      <c r="AA15" s="35"/>
      <c r="AB15" s="35"/>
      <c r="AC15" s="35"/>
      <c r="AD15" s="35"/>
      <c r="AE15" s="72"/>
      <c r="AF15" s="72"/>
      <c r="AG15" s="72"/>
      <c r="AH15" s="72"/>
      <c r="AI15" s="72"/>
      <c r="AJ15" s="29"/>
    </row>
    <row r="16" spans="1:36" ht="15" customHeight="1" x14ac:dyDescent="0.2">
      <c r="A16" s="79"/>
      <c r="B16" s="33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33"/>
      <c r="X16" s="33"/>
      <c r="Y16" s="33"/>
      <c r="Z16" s="33"/>
      <c r="AA16" s="33"/>
      <c r="AB16" s="33"/>
      <c r="AC16" s="33"/>
      <c r="AD16" s="33"/>
      <c r="AE16" s="75"/>
      <c r="AF16" s="75"/>
      <c r="AG16" s="75"/>
      <c r="AH16" s="75"/>
      <c r="AI16" s="75"/>
      <c r="AJ16" s="20"/>
    </row>
    <row r="17" spans="1:36" ht="15" customHeight="1" x14ac:dyDescent="0.2">
      <c r="A17" s="81"/>
      <c r="B17" s="35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35"/>
      <c r="X17" s="35"/>
      <c r="Y17" s="35"/>
      <c r="Z17" s="35"/>
      <c r="AA17" s="35"/>
      <c r="AB17" s="35"/>
      <c r="AC17" s="35"/>
      <c r="AD17" s="35"/>
      <c r="AE17" s="72"/>
      <c r="AF17" s="72"/>
      <c r="AG17" s="72"/>
      <c r="AH17" s="72"/>
      <c r="AI17" s="72"/>
      <c r="AJ17" s="29"/>
    </row>
    <row r="18" spans="1:36" ht="15" customHeight="1" x14ac:dyDescent="0.2">
      <c r="A18" s="79"/>
      <c r="B18" s="33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33"/>
      <c r="X18" s="33"/>
      <c r="Y18" s="33"/>
      <c r="Z18" s="33"/>
      <c r="AA18" s="33"/>
      <c r="AB18" s="33"/>
      <c r="AC18" s="33"/>
      <c r="AD18" s="33"/>
      <c r="AE18" s="75"/>
      <c r="AF18" s="75"/>
      <c r="AG18" s="75"/>
      <c r="AH18" s="75"/>
      <c r="AI18" s="75"/>
      <c r="AJ18" s="20"/>
    </row>
    <row r="19" spans="1:36" ht="15" customHeight="1" x14ac:dyDescent="0.2">
      <c r="A19" s="81"/>
      <c r="B19" s="35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35"/>
      <c r="X19" s="35"/>
      <c r="Y19" s="35"/>
      <c r="Z19" s="35"/>
      <c r="AA19" s="35"/>
      <c r="AB19" s="35"/>
      <c r="AC19" s="35"/>
      <c r="AD19" s="35"/>
      <c r="AE19" s="72"/>
      <c r="AF19" s="72"/>
      <c r="AG19" s="72"/>
      <c r="AH19" s="72"/>
      <c r="AI19" s="72"/>
      <c r="AJ19" s="29"/>
    </row>
    <row r="20" spans="1:36" ht="15" customHeight="1" x14ac:dyDescent="0.2">
      <c r="A20" s="79"/>
      <c r="B20" s="33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33"/>
      <c r="X20" s="33"/>
      <c r="Y20" s="33"/>
      <c r="Z20" s="33"/>
      <c r="AA20" s="33"/>
      <c r="AB20" s="33"/>
      <c r="AC20" s="33"/>
      <c r="AD20" s="33"/>
      <c r="AE20" s="75"/>
      <c r="AF20" s="75"/>
      <c r="AG20" s="75"/>
      <c r="AH20" s="75"/>
      <c r="AI20" s="75"/>
      <c r="AJ20" s="20"/>
    </row>
    <row r="21" spans="1:36" ht="15" customHeight="1" x14ac:dyDescent="0.2">
      <c r="A21" s="81"/>
      <c r="B21" s="35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35"/>
      <c r="X21" s="35"/>
      <c r="Y21" s="35"/>
      <c r="Z21" s="35"/>
      <c r="AA21" s="35"/>
      <c r="AB21" s="35"/>
      <c r="AC21" s="35"/>
      <c r="AD21" s="35"/>
      <c r="AE21" s="72"/>
      <c r="AF21" s="72"/>
      <c r="AG21" s="72"/>
      <c r="AH21" s="72"/>
      <c r="AI21" s="72"/>
      <c r="AJ21" s="29"/>
    </row>
    <row r="22" spans="1:36" ht="15" customHeight="1" x14ac:dyDescent="0.2">
      <c r="A22" s="79"/>
      <c r="B22" s="33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33"/>
      <c r="X22" s="33"/>
      <c r="Y22" s="33"/>
      <c r="Z22" s="33"/>
      <c r="AA22" s="33"/>
      <c r="AB22" s="33"/>
      <c r="AC22" s="33"/>
      <c r="AD22" s="33"/>
      <c r="AE22" s="75"/>
      <c r="AF22" s="75"/>
      <c r="AG22" s="75"/>
      <c r="AH22" s="75"/>
      <c r="AI22" s="75"/>
      <c r="AJ22" s="20"/>
    </row>
    <row r="23" spans="1:36" ht="15" customHeight="1" x14ac:dyDescent="0.2">
      <c r="A23" s="81"/>
      <c r="B23" s="35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35"/>
      <c r="X23" s="35"/>
      <c r="Y23" s="35"/>
      <c r="Z23" s="35"/>
      <c r="AA23" s="35"/>
      <c r="AB23" s="35"/>
      <c r="AC23" s="35"/>
      <c r="AD23" s="35"/>
      <c r="AE23" s="72"/>
      <c r="AF23" s="72"/>
      <c r="AG23" s="72"/>
      <c r="AH23" s="72"/>
      <c r="AI23" s="72"/>
      <c r="AJ23" s="29"/>
    </row>
    <row r="24" spans="1:36" ht="15" customHeight="1" x14ac:dyDescent="0.2">
      <c r="A24" s="79"/>
      <c r="B24" s="33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33"/>
      <c r="X24" s="33"/>
      <c r="Y24" s="33"/>
      <c r="Z24" s="33"/>
      <c r="AA24" s="33"/>
      <c r="AB24" s="33"/>
      <c r="AC24" s="33"/>
      <c r="AD24" s="33"/>
      <c r="AE24" s="75"/>
      <c r="AF24" s="75"/>
      <c r="AG24" s="75"/>
      <c r="AH24" s="75"/>
      <c r="AI24" s="75"/>
      <c r="AJ24" s="20"/>
    </row>
    <row r="25" spans="1:36" ht="15" customHeight="1" x14ac:dyDescent="0.2">
      <c r="A25" s="81"/>
      <c r="B25" s="35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35"/>
      <c r="X25" s="35"/>
      <c r="Y25" s="35"/>
      <c r="Z25" s="35"/>
      <c r="AA25" s="35"/>
      <c r="AB25" s="35"/>
      <c r="AC25" s="35"/>
      <c r="AD25" s="35"/>
      <c r="AE25" s="72"/>
      <c r="AF25" s="72"/>
      <c r="AG25" s="72"/>
      <c r="AH25" s="72"/>
      <c r="AI25" s="72"/>
      <c r="AJ25" s="29"/>
    </row>
    <row r="26" spans="1:36" ht="15" customHeight="1" x14ac:dyDescent="0.2">
      <c r="A26" s="79"/>
      <c r="B26" s="33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33"/>
      <c r="X26" s="33"/>
      <c r="Y26" s="33"/>
      <c r="Z26" s="33"/>
      <c r="AA26" s="33"/>
      <c r="AB26" s="33"/>
      <c r="AC26" s="33"/>
      <c r="AD26" s="33"/>
      <c r="AE26" s="75"/>
      <c r="AF26" s="75"/>
      <c r="AG26" s="75"/>
      <c r="AH26" s="75"/>
      <c r="AI26" s="75"/>
      <c r="AJ26" s="20"/>
    </row>
    <row r="27" spans="1:36" ht="15" customHeight="1" x14ac:dyDescent="0.2">
      <c r="A27" s="81"/>
      <c r="B27" s="35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35"/>
      <c r="X27" s="35"/>
      <c r="Y27" s="35"/>
      <c r="Z27" s="35"/>
      <c r="AA27" s="35"/>
      <c r="AB27" s="35"/>
      <c r="AC27" s="35"/>
      <c r="AD27" s="35"/>
      <c r="AE27" s="72"/>
      <c r="AF27" s="72"/>
      <c r="AG27" s="72"/>
      <c r="AH27" s="72"/>
      <c r="AI27" s="72"/>
      <c r="AJ27" s="29"/>
    </row>
    <row r="28" spans="1:36" ht="15" customHeight="1" x14ac:dyDescent="0.2">
      <c r="A28" s="79"/>
      <c r="B28" s="33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33"/>
      <c r="X28" s="33"/>
      <c r="Y28" s="33"/>
      <c r="Z28" s="33"/>
      <c r="AA28" s="33"/>
      <c r="AB28" s="33"/>
      <c r="AC28" s="33"/>
      <c r="AD28" s="33"/>
      <c r="AE28" s="75"/>
      <c r="AF28" s="75"/>
      <c r="AG28" s="75"/>
      <c r="AH28" s="75"/>
      <c r="AI28" s="75"/>
      <c r="AJ28" s="20"/>
    </row>
    <row r="29" spans="1:36" ht="15" customHeight="1" x14ac:dyDescent="0.2">
      <c r="A29" s="81"/>
      <c r="B29" s="35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35"/>
      <c r="X29" s="35"/>
      <c r="Y29" s="35"/>
      <c r="Z29" s="35"/>
      <c r="AA29" s="35"/>
      <c r="AB29" s="35"/>
      <c r="AC29" s="35"/>
      <c r="AD29" s="35"/>
      <c r="AE29" s="72"/>
      <c r="AF29" s="72"/>
      <c r="AG29" s="72"/>
      <c r="AH29" s="72"/>
      <c r="AI29" s="72"/>
      <c r="AJ29" s="29"/>
    </row>
    <row r="30" spans="1:36" ht="15" customHeight="1" x14ac:dyDescent="0.2">
      <c r="A30" s="79"/>
      <c r="B30" s="33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33"/>
      <c r="X30" s="33"/>
      <c r="Y30" s="33"/>
      <c r="Z30" s="33"/>
      <c r="AA30" s="33"/>
      <c r="AB30" s="33"/>
      <c r="AC30" s="33"/>
      <c r="AD30" s="33"/>
      <c r="AE30" s="75"/>
      <c r="AF30" s="75"/>
      <c r="AG30" s="75"/>
      <c r="AH30" s="75"/>
      <c r="AI30" s="75"/>
      <c r="AJ30" s="20"/>
    </row>
    <row r="31" spans="1:36" ht="15" customHeight="1" x14ac:dyDescent="0.2">
      <c r="A31" s="81"/>
      <c r="B31" s="35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35"/>
      <c r="X31" s="35"/>
      <c r="Y31" s="35"/>
      <c r="Z31" s="35"/>
      <c r="AA31" s="35"/>
      <c r="AB31" s="35"/>
      <c r="AC31" s="35"/>
      <c r="AD31" s="35"/>
      <c r="AE31" s="72"/>
      <c r="AF31" s="72"/>
      <c r="AG31" s="72"/>
      <c r="AH31" s="72"/>
      <c r="AI31" s="72"/>
      <c r="AJ31" s="29"/>
    </row>
    <row r="32" spans="1:36" ht="24" customHeight="1" x14ac:dyDescent="0.2">
      <c r="A32" s="175" t="s">
        <v>663</v>
      </c>
      <c r="B32" s="164"/>
      <c r="C32" s="164"/>
      <c r="D32" s="164"/>
      <c r="E32" s="164"/>
      <c r="F32" s="164"/>
      <c r="G32" s="164"/>
      <c r="H32" s="164"/>
      <c r="I32" s="164"/>
      <c r="J32" s="164"/>
      <c r="K32" s="164"/>
      <c r="L32" s="164"/>
      <c r="M32" s="164"/>
      <c r="N32" s="164"/>
      <c r="O32" s="164"/>
      <c r="P32" s="164"/>
      <c r="Q32" s="164"/>
      <c r="R32" s="164"/>
      <c r="S32" s="164"/>
      <c r="T32" s="164"/>
      <c r="U32" s="164"/>
      <c r="V32" s="164"/>
      <c r="W32" s="164"/>
      <c r="X32" s="164"/>
      <c r="Y32" s="164"/>
      <c r="Z32" s="164"/>
      <c r="AA32" s="164"/>
      <c r="AB32" s="164"/>
      <c r="AC32" s="164"/>
      <c r="AD32" s="164"/>
      <c r="AE32" s="164"/>
      <c r="AF32" s="164"/>
      <c r="AG32" s="164"/>
      <c r="AH32" s="164"/>
      <c r="AI32" s="164"/>
      <c r="AJ32" s="164"/>
    </row>
    <row r="33" spans="1:36" ht="24" customHeight="1" x14ac:dyDescent="0.2">
      <c r="A33" s="175" t="s">
        <v>577</v>
      </c>
      <c r="B33" s="164"/>
      <c r="C33" s="164"/>
      <c r="D33" s="174" t="s">
        <v>664</v>
      </c>
      <c r="E33" s="164"/>
      <c r="F33" s="164"/>
      <c r="G33" s="164"/>
      <c r="H33" s="164"/>
      <c r="I33" s="164"/>
      <c r="J33" s="164"/>
      <c r="K33" s="164"/>
      <c r="L33" s="164"/>
      <c r="M33" s="164"/>
      <c r="N33" s="164"/>
      <c r="O33" s="164"/>
      <c r="P33" s="164"/>
      <c r="Q33" s="174" t="s">
        <v>665</v>
      </c>
      <c r="R33" s="164"/>
      <c r="S33" s="164"/>
      <c r="T33" s="164"/>
      <c r="U33" s="164"/>
      <c r="V33" s="164"/>
      <c r="W33" s="164"/>
      <c r="X33" s="164"/>
      <c r="Y33" s="164"/>
      <c r="Z33" s="164"/>
      <c r="AA33" s="164"/>
      <c r="AB33" s="164"/>
      <c r="AC33" s="164"/>
      <c r="AD33" s="164"/>
      <c r="AE33" s="164"/>
      <c r="AF33" s="164"/>
      <c r="AG33" s="164"/>
      <c r="AH33" s="164"/>
      <c r="AI33" s="164"/>
      <c r="AJ33" s="164"/>
    </row>
    <row r="34" spans="1:36" ht="24" customHeight="1" x14ac:dyDescent="0.2">
      <c r="A34" s="175" t="s">
        <v>578</v>
      </c>
      <c r="B34" s="164"/>
      <c r="C34" s="164"/>
      <c r="D34" s="174" t="s">
        <v>666</v>
      </c>
      <c r="E34" s="164"/>
      <c r="F34" s="164"/>
      <c r="G34" s="164"/>
      <c r="H34" s="164"/>
      <c r="I34" s="164"/>
      <c r="J34" s="164"/>
      <c r="K34" s="164"/>
      <c r="L34" s="164"/>
      <c r="M34" s="164"/>
      <c r="N34" s="164"/>
      <c r="O34" s="164"/>
      <c r="P34" s="164"/>
      <c r="Q34" s="174" t="s">
        <v>667</v>
      </c>
      <c r="R34" s="164"/>
      <c r="S34" s="164"/>
      <c r="T34" s="164"/>
      <c r="U34" s="164"/>
      <c r="V34" s="164"/>
      <c r="W34" s="164"/>
      <c r="X34" s="164"/>
      <c r="Y34" s="164"/>
      <c r="Z34" s="164"/>
      <c r="AA34" s="164"/>
      <c r="AB34" s="164"/>
      <c r="AC34" s="164"/>
      <c r="AD34" s="164"/>
      <c r="AE34" s="164"/>
      <c r="AF34" s="164"/>
      <c r="AG34" s="164"/>
      <c r="AH34" s="164"/>
      <c r="AI34" s="164"/>
      <c r="AJ34" s="164"/>
    </row>
    <row r="35" spans="1:36" ht="24" customHeight="1" x14ac:dyDescent="0.2">
      <c r="A35" s="175" t="s">
        <v>579</v>
      </c>
      <c r="B35" s="164"/>
      <c r="C35" s="164"/>
      <c r="D35" s="174" t="s">
        <v>668</v>
      </c>
      <c r="E35" s="164"/>
      <c r="F35" s="164"/>
      <c r="G35" s="164"/>
      <c r="H35" s="164"/>
      <c r="I35" s="164"/>
      <c r="J35" s="164"/>
      <c r="K35" s="164"/>
      <c r="L35" s="164"/>
      <c r="M35" s="164"/>
      <c r="N35" s="164"/>
      <c r="O35" s="164"/>
      <c r="P35" s="164"/>
      <c r="Q35" s="174" t="s">
        <v>669</v>
      </c>
      <c r="R35" s="164"/>
      <c r="S35" s="164"/>
      <c r="T35" s="164"/>
      <c r="U35" s="164"/>
      <c r="V35" s="164"/>
      <c r="W35" s="164"/>
      <c r="X35" s="164"/>
      <c r="Y35" s="164"/>
      <c r="Z35" s="164"/>
      <c r="AA35" s="164"/>
      <c r="AB35" s="164"/>
      <c r="AC35" s="164"/>
      <c r="AD35" s="164"/>
      <c r="AE35" s="164"/>
      <c r="AF35" s="164"/>
      <c r="AG35" s="164"/>
      <c r="AH35" s="164"/>
      <c r="AI35" s="164"/>
      <c r="AJ35" s="164"/>
    </row>
    <row r="36" spans="1:36" ht="24" customHeight="1" x14ac:dyDescent="0.2">
      <c r="A36" s="175" t="s">
        <v>580</v>
      </c>
      <c r="B36" s="164"/>
      <c r="C36" s="164"/>
      <c r="D36" s="174" t="s">
        <v>670</v>
      </c>
      <c r="E36" s="164"/>
      <c r="F36" s="164"/>
      <c r="G36" s="164"/>
      <c r="H36" s="164"/>
      <c r="I36" s="164"/>
      <c r="J36" s="164"/>
      <c r="K36" s="164"/>
      <c r="L36" s="164"/>
      <c r="M36" s="164"/>
      <c r="N36" s="164"/>
      <c r="O36" s="164"/>
      <c r="P36" s="164"/>
      <c r="Q36" s="174" t="s">
        <v>671</v>
      </c>
      <c r="R36" s="164"/>
      <c r="S36" s="164"/>
      <c r="T36" s="164"/>
      <c r="U36" s="164"/>
      <c r="V36" s="164"/>
      <c r="W36" s="164"/>
      <c r="X36" s="164"/>
      <c r="Y36" s="164"/>
      <c r="Z36" s="164"/>
      <c r="AA36" s="164"/>
      <c r="AB36" s="164"/>
      <c r="AC36" s="164"/>
      <c r="AD36" s="164"/>
      <c r="AE36" s="164"/>
      <c r="AF36" s="164"/>
      <c r="AG36" s="164"/>
      <c r="AH36" s="164"/>
      <c r="AI36" s="164"/>
      <c r="AJ36" s="164"/>
    </row>
    <row r="37" spans="1:36" ht="24" customHeight="1" x14ac:dyDescent="0.2">
      <c r="A37" s="175" t="s">
        <v>581</v>
      </c>
      <c r="B37" s="164"/>
      <c r="C37" s="164"/>
      <c r="D37" s="174" t="s">
        <v>672</v>
      </c>
      <c r="E37" s="164"/>
      <c r="F37" s="164"/>
      <c r="G37" s="164"/>
      <c r="H37" s="164"/>
      <c r="I37" s="164"/>
      <c r="J37" s="164"/>
      <c r="K37" s="164"/>
      <c r="L37" s="164"/>
      <c r="M37" s="164"/>
      <c r="N37" s="164"/>
      <c r="O37" s="164"/>
      <c r="P37" s="164"/>
      <c r="Q37" s="174" t="s">
        <v>673</v>
      </c>
      <c r="R37" s="164"/>
      <c r="S37" s="164"/>
      <c r="T37" s="164"/>
      <c r="U37" s="164"/>
      <c r="V37" s="164"/>
      <c r="W37" s="164"/>
      <c r="X37" s="164"/>
      <c r="Y37" s="164"/>
      <c r="Z37" s="164"/>
      <c r="AA37" s="164"/>
      <c r="AB37" s="164"/>
      <c r="AC37" s="164"/>
      <c r="AD37" s="164"/>
      <c r="AE37" s="164"/>
      <c r="AF37" s="164"/>
      <c r="AG37" s="164"/>
      <c r="AH37" s="164"/>
      <c r="AI37" s="164"/>
      <c r="AJ37" s="164"/>
    </row>
    <row r="38" spans="1:36" ht="24" customHeight="1" x14ac:dyDescent="0.2">
      <c r="A38" s="175" t="s">
        <v>582</v>
      </c>
      <c r="B38" s="164"/>
      <c r="C38" s="164"/>
      <c r="D38" s="174" t="s">
        <v>674</v>
      </c>
      <c r="E38" s="164"/>
      <c r="F38" s="164"/>
      <c r="G38" s="164"/>
      <c r="H38" s="164"/>
      <c r="I38" s="164"/>
      <c r="J38" s="164"/>
      <c r="K38" s="164"/>
      <c r="L38" s="164"/>
      <c r="M38" s="164"/>
      <c r="N38" s="164"/>
      <c r="O38" s="164"/>
      <c r="P38" s="164"/>
      <c r="Q38" s="174" t="s">
        <v>675</v>
      </c>
      <c r="R38" s="164"/>
      <c r="S38" s="164"/>
      <c r="T38" s="164"/>
      <c r="U38" s="164"/>
      <c r="V38" s="164"/>
      <c r="W38" s="164"/>
      <c r="X38" s="164"/>
      <c r="Y38" s="164"/>
      <c r="Z38" s="164"/>
      <c r="AA38" s="164"/>
      <c r="AB38" s="164"/>
      <c r="AC38" s="164"/>
      <c r="AD38" s="164"/>
      <c r="AE38" s="164"/>
      <c r="AF38" s="164"/>
      <c r="AG38" s="164"/>
      <c r="AH38" s="164"/>
      <c r="AI38" s="164"/>
      <c r="AJ38" s="164"/>
    </row>
    <row r="39" spans="1:36" ht="24" customHeight="1" x14ac:dyDescent="0.2">
      <c r="A39" s="175" t="s">
        <v>583</v>
      </c>
      <c r="B39" s="164"/>
      <c r="C39" s="164"/>
      <c r="D39" s="174" t="s">
        <v>676</v>
      </c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4"/>
      <c r="P39" s="164"/>
      <c r="Q39" s="174" t="s">
        <v>677</v>
      </c>
      <c r="R39" s="164"/>
      <c r="S39" s="164"/>
      <c r="T39" s="164"/>
      <c r="U39" s="164"/>
      <c r="V39" s="164"/>
      <c r="W39" s="164"/>
      <c r="X39" s="164"/>
      <c r="Y39" s="164"/>
      <c r="Z39" s="164"/>
      <c r="AA39" s="164"/>
      <c r="AB39" s="164"/>
      <c r="AC39" s="164"/>
      <c r="AD39" s="164"/>
      <c r="AE39" s="164"/>
      <c r="AF39" s="164"/>
      <c r="AG39" s="164"/>
      <c r="AH39" s="164"/>
      <c r="AI39" s="164"/>
      <c r="AJ39" s="164"/>
    </row>
    <row r="40" spans="1:36" ht="24" customHeight="1" x14ac:dyDescent="0.2">
      <c r="A40" s="175" t="s">
        <v>584</v>
      </c>
      <c r="B40" s="164"/>
      <c r="C40" s="164"/>
      <c r="D40" s="174" t="s">
        <v>678</v>
      </c>
      <c r="E40" s="164"/>
      <c r="F40" s="164"/>
      <c r="G40" s="164"/>
      <c r="H40" s="164"/>
      <c r="I40" s="164"/>
      <c r="J40" s="164"/>
      <c r="K40" s="164"/>
      <c r="L40" s="164"/>
      <c r="M40" s="164"/>
      <c r="N40" s="164"/>
      <c r="O40" s="164"/>
      <c r="P40" s="164"/>
      <c r="Q40" s="174" t="s">
        <v>679</v>
      </c>
      <c r="R40" s="164"/>
      <c r="S40" s="164"/>
      <c r="T40" s="164"/>
      <c r="U40" s="164"/>
      <c r="V40" s="164"/>
      <c r="W40" s="164"/>
      <c r="X40" s="164"/>
      <c r="Y40" s="164"/>
      <c r="Z40" s="164"/>
      <c r="AA40" s="164"/>
      <c r="AB40" s="164"/>
      <c r="AC40" s="164"/>
      <c r="AD40" s="164"/>
      <c r="AE40" s="164"/>
      <c r="AF40" s="164"/>
      <c r="AG40" s="164"/>
      <c r="AH40" s="164"/>
      <c r="AI40" s="164"/>
      <c r="AJ40" s="164"/>
    </row>
  </sheetData>
  <mergeCells count="32">
    <mergeCell ref="A1:AJ1"/>
    <mergeCell ref="T2:U2"/>
    <mergeCell ref="Q40:AJ40"/>
    <mergeCell ref="D36:P36"/>
    <mergeCell ref="A40:C40"/>
    <mergeCell ref="Q34:AJ34"/>
    <mergeCell ref="A39:C39"/>
    <mergeCell ref="A34:C34"/>
    <mergeCell ref="A36:C36"/>
    <mergeCell ref="Q36:AJ36"/>
    <mergeCell ref="AD2:AJ2"/>
    <mergeCell ref="D34:P34"/>
    <mergeCell ref="A38:C38"/>
    <mergeCell ref="A32:AJ32"/>
    <mergeCell ref="D40:P40"/>
    <mergeCell ref="Q35:AJ35"/>
    <mergeCell ref="D37:P37"/>
    <mergeCell ref="A37:C37"/>
    <mergeCell ref="V2:AC2"/>
    <mergeCell ref="I2:S2"/>
    <mergeCell ref="D39:P39"/>
    <mergeCell ref="D33:P33"/>
    <mergeCell ref="A2:C2"/>
    <mergeCell ref="Q37:AJ37"/>
    <mergeCell ref="D38:P38"/>
    <mergeCell ref="Q33:AJ33"/>
    <mergeCell ref="A33:C33"/>
    <mergeCell ref="D2:H2"/>
    <mergeCell ref="Q39:AJ39"/>
    <mergeCell ref="D35:P35"/>
    <mergeCell ref="A35:C35"/>
    <mergeCell ref="Q38:AJ38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A1712"/>
  </sheetPr>
  <dimension ref="A1:V123"/>
  <sheetViews>
    <sheetView zoomScale="88" zoomScaleNormal="100" workbookViewId="0">
      <pane ySplit="2" topLeftCell="A5" activePane="bottomLeft" state="frozen"/>
      <selection pane="bottomLeft" activeCell="B88" sqref="B88"/>
    </sheetView>
  </sheetViews>
  <sheetFormatPr baseColWidth="10" defaultColWidth="8.6640625" defaultRowHeight="15" x14ac:dyDescent="0.2"/>
  <cols>
    <col min="1" max="1" width="30" customWidth="1"/>
    <col min="2" max="12" width="12" customWidth="1"/>
    <col min="13" max="13" width="32.6640625" bestFit="1" customWidth="1"/>
    <col min="14" max="22" width="12" customWidth="1"/>
  </cols>
  <sheetData>
    <row r="1" spans="1:22" ht="34" customHeight="1" x14ac:dyDescent="0.2">
      <c r="A1" s="183" t="s">
        <v>0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</row>
    <row r="2" spans="1:22" ht="18" customHeight="1" x14ac:dyDescent="0.2">
      <c r="A2" s="217" t="s">
        <v>1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</row>
    <row r="4" spans="1:22" ht="26" customHeight="1" x14ac:dyDescent="0.2">
      <c r="A4" s="188" t="s">
        <v>2</v>
      </c>
      <c r="B4" s="184"/>
      <c r="C4" s="184"/>
      <c r="D4" s="184"/>
      <c r="E4" s="184"/>
      <c r="F4" s="184"/>
      <c r="G4" s="184"/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4"/>
    </row>
    <row r="5" spans="1:22" ht="28" customHeight="1" x14ac:dyDescent="0.2">
      <c r="A5" s="78" t="s">
        <v>3</v>
      </c>
      <c r="B5" s="78" t="s">
        <v>4</v>
      </c>
      <c r="C5" s="78" t="s">
        <v>5</v>
      </c>
      <c r="D5" s="78" t="s">
        <v>6</v>
      </c>
      <c r="E5" s="78" t="s">
        <v>7</v>
      </c>
      <c r="F5" s="78" t="s">
        <v>8</v>
      </c>
      <c r="G5" s="78" t="s">
        <v>9</v>
      </c>
      <c r="H5" s="78" t="s">
        <v>10</v>
      </c>
      <c r="I5" s="78" t="s">
        <v>11</v>
      </c>
      <c r="J5" s="78" t="s">
        <v>12</v>
      </c>
      <c r="K5" s="78" t="s">
        <v>13</v>
      </c>
      <c r="L5" s="78" t="s">
        <v>14</v>
      </c>
    </row>
    <row r="6" spans="1:22" ht="16" customHeight="1" x14ac:dyDescent="0.2">
      <c r="A6" s="81" t="s">
        <v>15</v>
      </c>
      <c r="B6" s="106" t="s">
        <v>16</v>
      </c>
      <c r="C6" s="107" t="s">
        <v>17</v>
      </c>
      <c r="D6" s="107" t="s">
        <v>18</v>
      </c>
      <c r="E6" s="24">
        <v>36.65</v>
      </c>
      <c r="F6" s="24">
        <v>74.66</v>
      </c>
      <c r="G6" s="80" t="s">
        <v>19</v>
      </c>
      <c r="H6" s="80" t="s">
        <v>19</v>
      </c>
      <c r="I6" s="80" t="s">
        <v>19</v>
      </c>
      <c r="J6" s="108" t="s">
        <v>20</v>
      </c>
      <c r="K6" s="107" t="s">
        <v>21</v>
      </c>
      <c r="L6" s="107" t="s">
        <v>22</v>
      </c>
    </row>
    <row r="7" spans="1:22" ht="16" customHeight="1" x14ac:dyDescent="0.2">
      <c r="A7" s="81" t="s">
        <v>23</v>
      </c>
      <c r="B7" s="109" t="s">
        <v>24</v>
      </c>
      <c r="C7" s="110" t="s">
        <v>25</v>
      </c>
      <c r="D7" s="110" t="s">
        <v>26</v>
      </c>
      <c r="E7" s="24">
        <v>27.05</v>
      </c>
      <c r="F7" s="24">
        <v>17.39</v>
      </c>
      <c r="G7" s="24">
        <v>20.010000000000002</v>
      </c>
      <c r="H7" s="24">
        <v>23.42</v>
      </c>
      <c r="I7" s="24">
        <v>28.43</v>
      </c>
      <c r="J7" s="111">
        <v>5.1200000000000002E-2</v>
      </c>
      <c r="K7" s="110" t="s">
        <v>27</v>
      </c>
      <c r="L7" s="7"/>
    </row>
    <row r="8" spans="1:22" ht="16" customHeight="1" x14ac:dyDescent="0.2">
      <c r="A8" s="81" t="s">
        <v>28</v>
      </c>
      <c r="B8" s="109" t="s">
        <v>24</v>
      </c>
      <c r="C8" s="110" t="s">
        <v>25</v>
      </c>
      <c r="D8" s="110" t="s">
        <v>26</v>
      </c>
      <c r="E8" s="24">
        <v>6.38</v>
      </c>
      <c r="F8" s="24">
        <v>6.3</v>
      </c>
      <c r="G8" s="24">
        <v>6.31</v>
      </c>
      <c r="H8" s="24">
        <v>6.63</v>
      </c>
      <c r="I8" s="24">
        <v>6.7</v>
      </c>
      <c r="J8" s="111">
        <v>5.0200000000000002E-2</v>
      </c>
      <c r="K8" s="110" t="s">
        <v>27</v>
      </c>
      <c r="L8" s="7"/>
    </row>
    <row r="9" spans="1:22" ht="16" customHeight="1" x14ac:dyDescent="0.2">
      <c r="A9" s="81" t="s">
        <v>29</v>
      </c>
      <c r="B9" s="109" t="s">
        <v>24</v>
      </c>
      <c r="C9" s="110" t="s">
        <v>17</v>
      </c>
      <c r="D9" s="110" t="s">
        <v>26</v>
      </c>
      <c r="E9" s="24">
        <v>2.71</v>
      </c>
      <c r="F9" s="24">
        <v>3.72</v>
      </c>
      <c r="G9" s="24">
        <v>3.84</v>
      </c>
      <c r="H9" s="24">
        <v>4.0999999999999996</v>
      </c>
      <c r="I9" s="24">
        <v>4.22</v>
      </c>
      <c r="J9" s="112">
        <v>0.55720000000000003</v>
      </c>
      <c r="K9" s="110" t="s">
        <v>27</v>
      </c>
      <c r="L9" s="7"/>
    </row>
    <row r="10" spans="1:22" ht="16" customHeight="1" x14ac:dyDescent="0.2">
      <c r="A10" s="81" t="s">
        <v>30</v>
      </c>
      <c r="B10" s="109" t="s">
        <v>24</v>
      </c>
      <c r="C10" s="110" t="s">
        <v>31</v>
      </c>
      <c r="D10" s="110" t="s">
        <v>26</v>
      </c>
      <c r="E10" s="24">
        <v>6.14</v>
      </c>
      <c r="F10" s="24">
        <v>9.07</v>
      </c>
      <c r="G10" s="24">
        <v>9.75</v>
      </c>
      <c r="H10" s="24">
        <v>10.1</v>
      </c>
      <c r="I10" s="24">
        <v>11.2</v>
      </c>
      <c r="J10" s="113">
        <v>0.82410000000000005</v>
      </c>
      <c r="K10" s="110" t="s">
        <v>27</v>
      </c>
      <c r="L10" s="7"/>
    </row>
    <row r="11" spans="1:22" ht="16" customHeight="1" x14ac:dyDescent="0.2">
      <c r="A11" s="81" t="s">
        <v>32</v>
      </c>
      <c r="B11" s="114" t="s">
        <v>33</v>
      </c>
      <c r="C11" s="115" t="s">
        <v>31</v>
      </c>
      <c r="D11" s="115" t="s">
        <v>34</v>
      </c>
      <c r="E11" s="116">
        <v>49.17</v>
      </c>
      <c r="F11" s="116">
        <v>85.07</v>
      </c>
      <c r="G11" s="116">
        <v>114.66</v>
      </c>
      <c r="H11" s="80" t="s">
        <v>19</v>
      </c>
      <c r="I11" s="80" t="s">
        <v>19</v>
      </c>
      <c r="J11" s="108" t="s">
        <v>20</v>
      </c>
      <c r="K11" s="115" t="s">
        <v>21</v>
      </c>
      <c r="L11" s="8"/>
    </row>
    <row r="12" spans="1:22" ht="16" customHeight="1" x14ac:dyDescent="0.2">
      <c r="A12" s="81" t="s">
        <v>35</v>
      </c>
      <c r="B12" s="114" t="s">
        <v>33</v>
      </c>
      <c r="C12" s="115" t="s">
        <v>31</v>
      </c>
      <c r="D12" s="115" t="s">
        <v>18</v>
      </c>
      <c r="E12" s="116">
        <v>106.19</v>
      </c>
      <c r="F12" s="116">
        <v>298.10000000000002</v>
      </c>
      <c r="G12" s="116">
        <v>488.17</v>
      </c>
      <c r="H12" s="80" t="s">
        <v>19</v>
      </c>
      <c r="I12" s="80" t="s">
        <v>19</v>
      </c>
      <c r="J12" s="108" t="s">
        <v>20</v>
      </c>
      <c r="K12" s="115" t="s">
        <v>21</v>
      </c>
      <c r="L12" s="8"/>
    </row>
    <row r="13" spans="1:22" ht="16" customHeight="1" x14ac:dyDescent="0.2">
      <c r="A13" s="81" t="s">
        <v>36</v>
      </c>
      <c r="B13" s="114" t="s">
        <v>33</v>
      </c>
      <c r="C13" s="115" t="s">
        <v>17</v>
      </c>
      <c r="D13" s="115" t="s">
        <v>34</v>
      </c>
      <c r="E13" s="116">
        <v>26.66</v>
      </c>
      <c r="F13" s="116">
        <v>46.71</v>
      </c>
      <c r="G13" s="116">
        <v>50.56</v>
      </c>
      <c r="H13" s="116">
        <v>75.86</v>
      </c>
      <c r="I13" s="116">
        <v>78.040000000000006</v>
      </c>
      <c r="J13" s="116">
        <v>1.9272</v>
      </c>
      <c r="K13" s="115" t="s">
        <v>27</v>
      </c>
      <c r="L13" s="8"/>
    </row>
    <row r="14" spans="1:22" ht="16" customHeight="1" x14ac:dyDescent="0.2">
      <c r="A14" s="81" t="s">
        <v>37</v>
      </c>
      <c r="B14" s="114" t="s">
        <v>33</v>
      </c>
      <c r="C14" s="115" t="s">
        <v>17</v>
      </c>
      <c r="D14" s="115" t="s">
        <v>18</v>
      </c>
      <c r="E14" s="116">
        <v>221.2</v>
      </c>
      <c r="F14" s="80" t="s">
        <v>19</v>
      </c>
      <c r="G14" s="80" t="s">
        <v>19</v>
      </c>
      <c r="H14" s="80" t="s">
        <v>19</v>
      </c>
      <c r="I14" s="80" t="s">
        <v>19</v>
      </c>
      <c r="J14" s="108" t="s">
        <v>20</v>
      </c>
      <c r="K14" s="115" t="s">
        <v>38</v>
      </c>
      <c r="L14" s="8"/>
    </row>
    <row r="15" spans="1:22" ht="16" customHeight="1" x14ac:dyDescent="0.2">
      <c r="A15" s="81" t="s">
        <v>39</v>
      </c>
      <c r="B15" s="114" t="s">
        <v>33</v>
      </c>
      <c r="C15" s="115" t="s">
        <v>25</v>
      </c>
      <c r="D15" s="115" t="s">
        <v>34</v>
      </c>
      <c r="E15" s="116">
        <v>18.07</v>
      </c>
      <c r="F15" s="116">
        <v>24.44</v>
      </c>
      <c r="G15" s="116">
        <v>41.5</v>
      </c>
      <c r="H15" s="116">
        <v>77.36</v>
      </c>
      <c r="I15" s="116">
        <v>66.650000000000006</v>
      </c>
      <c r="J15" s="116">
        <v>2.6884000000000001</v>
      </c>
      <c r="K15" s="115" t="s">
        <v>27</v>
      </c>
      <c r="L15" s="8"/>
    </row>
    <row r="16" spans="1:22" ht="16" customHeight="1" x14ac:dyDescent="0.2">
      <c r="A16" s="81" t="s">
        <v>40</v>
      </c>
      <c r="B16" s="117" t="s">
        <v>41</v>
      </c>
      <c r="C16" s="118" t="s">
        <v>17</v>
      </c>
      <c r="D16" s="118" t="s">
        <v>18</v>
      </c>
      <c r="E16" s="24">
        <v>60.09</v>
      </c>
      <c r="F16" s="24">
        <v>92.45</v>
      </c>
      <c r="G16" s="24">
        <v>119.39</v>
      </c>
      <c r="H16" s="24">
        <v>140.47999999999999</v>
      </c>
      <c r="I16" s="24">
        <v>183.64</v>
      </c>
      <c r="J16" s="116">
        <v>2.0558999999999998</v>
      </c>
      <c r="K16" s="118" t="s">
        <v>27</v>
      </c>
      <c r="L16" s="9"/>
    </row>
    <row r="17" spans="1:22" ht="16" customHeight="1" x14ac:dyDescent="0.2">
      <c r="A17" s="81" t="s">
        <v>42</v>
      </c>
      <c r="B17" s="117" t="s">
        <v>41</v>
      </c>
      <c r="C17" s="118" t="s">
        <v>17</v>
      </c>
      <c r="D17" s="118" t="s">
        <v>18</v>
      </c>
      <c r="E17" s="24">
        <v>20.8</v>
      </c>
      <c r="F17" s="24">
        <v>32.21</v>
      </c>
      <c r="G17" s="24">
        <v>34.78</v>
      </c>
      <c r="H17" s="24">
        <v>36.770000000000003</v>
      </c>
      <c r="I17" s="24">
        <v>38.9</v>
      </c>
      <c r="J17" s="113">
        <v>0.87019999999999997</v>
      </c>
      <c r="K17" s="118" t="s">
        <v>27</v>
      </c>
      <c r="L17" s="9"/>
    </row>
    <row r="18" spans="1:22" ht="16" customHeight="1" x14ac:dyDescent="0.2">
      <c r="A18" s="81" t="s">
        <v>43</v>
      </c>
      <c r="B18" s="117" t="s">
        <v>41</v>
      </c>
      <c r="C18" s="118" t="s">
        <v>31</v>
      </c>
      <c r="D18" s="118" t="s">
        <v>18</v>
      </c>
      <c r="E18" s="24">
        <v>59.8</v>
      </c>
      <c r="F18" s="24">
        <v>92.45</v>
      </c>
      <c r="G18" s="24">
        <v>119.39</v>
      </c>
      <c r="H18" s="24">
        <v>140.57</v>
      </c>
      <c r="I18" s="24">
        <v>183.64</v>
      </c>
      <c r="J18" s="116">
        <v>2.0707</v>
      </c>
      <c r="K18" s="118" t="s">
        <v>27</v>
      </c>
      <c r="L18" s="9"/>
    </row>
    <row r="19" spans="1:22" ht="16" customHeight="1" x14ac:dyDescent="0.2">
      <c r="A19" s="81" t="s">
        <v>44</v>
      </c>
      <c r="B19" s="117" t="s">
        <v>41</v>
      </c>
      <c r="C19" s="118" t="s">
        <v>31</v>
      </c>
      <c r="D19" s="118" t="s">
        <v>18</v>
      </c>
      <c r="E19" s="24">
        <v>20.8</v>
      </c>
      <c r="F19" s="24">
        <v>32.229999999999997</v>
      </c>
      <c r="G19" s="24">
        <v>34.78</v>
      </c>
      <c r="H19" s="24">
        <v>36.770000000000003</v>
      </c>
      <c r="I19" s="24">
        <v>38.9</v>
      </c>
      <c r="J19" s="113">
        <v>0.87019999999999997</v>
      </c>
      <c r="K19" s="118" t="s">
        <v>27</v>
      </c>
      <c r="L19" s="9"/>
    </row>
    <row r="20" spans="1:22" ht="16" customHeight="1" x14ac:dyDescent="0.2">
      <c r="A20" s="81" t="s">
        <v>45</v>
      </c>
      <c r="B20" s="119" t="s">
        <v>46</v>
      </c>
      <c r="C20" s="120" t="s">
        <v>31</v>
      </c>
      <c r="D20" s="120" t="s">
        <v>18</v>
      </c>
      <c r="E20" s="24">
        <v>73.7</v>
      </c>
      <c r="F20" s="24">
        <v>87.28</v>
      </c>
      <c r="G20" s="24">
        <v>98.58</v>
      </c>
      <c r="H20" s="24">
        <v>105.88</v>
      </c>
      <c r="I20" s="24">
        <v>110.68</v>
      </c>
      <c r="J20" s="112">
        <v>0.50180000000000002</v>
      </c>
      <c r="K20" s="120" t="s">
        <v>27</v>
      </c>
      <c r="L20" s="10"/>
    </row>
    <row r="21" spans="1:22" ht="16" customHeight="1" x14ac:dyDescent="0.2">
      <c r="A21" s="81" t="s">
        <v>47</v>
      </c>
      <c r="B21" s="119" t="s">
        <v>46</v>
      </c>
      <c r="C21" s="120" t="s">
        <v>31</v>
      </c>
      <c r="D21" s="120" t="s">
        <v>34</v>
      </c>
      <c r="E21" s="24">
        <v>40.5</v>
      </c>
      <c r="F21" s="24">
        <v>71.180000000000007</v>
      </c>
      <c r="G21" s="24">
        <v>79.28</v>
      </c>
      <c r="H21" s="24">
        <v>78.290000000000006</v>
      </c>
      <c r="I21" s="24">
        <v>88.54</v>
      </c>
      <c r="J21" s="116">
        <v>1.1861999999999999</v>
      </c>
      <c r="K21" s="120" t="s">
        <v>27</v>
      </c>
      <c r="L21" s="10"/>
    </row>
    <row r="22" spans="1:22" ht="16" customHeight="1" x14ac:dyDescent="0.2">
      <c r="A22" s="81" t="s">
        <v>48</v>
      </c>
      <c r="B22" s="119" t="s">
        <v>46</v>
      </c>
      <c r="C22" s="120" t="s">
        <v>31</v>
      </c>
      <c r="D22" s="120" t="s">
        <v>34</v>
      </c>
      <c r="E22" s="24">
        <v>31.08</v>
      </c>
      <c r="F22" s="24">
        <v>44.78</v>
      </c>
      <c r="G22" s="24">
        <v>48.69</v>
      </c>
      <c r="H22" s="24">
        <v>54.31</v>
      </c>
      <c r="I22" s="24">
        <v>70.8</v>
      </c>
      <c r="J22" s="116">
        <v>1.278</v>
      </c>
      <c r="K22" s="120" t="s">
        <v>27</v>
      </c>
      <c r="L22" s="10"/>
    </row>
    <row r="23" spans="1:22" ht="16" customHeight="1" x14ac:dyDescent="0.2">
      <c r="A23" s="81" t="s">
        <v>49</v>
      </c>
      <c r="B23" s="119" t="s">
        <v>46</v>
      </c>
      <c r="C23" s="120" t="s">
        <v>17</v>
      </c>
      <c r="D23" s="120" t="s">
        <v>18</v>
      </c>
      <c r="E23" s="24">
        <v>15.17</v>
      </c>
      <c r="F23" s="24">
        <v>338.61</v>
      </c>
      <c r="G23" s="24">
        <v>357</v>
      </c>
      <c r="H23" s="80" t="s">
        <v>19</v>
      </c>
      <c r="I23" s="80" t="s">
        <v>19</v>
      </c>
      <c r="J23" s="108" t="s">
        <v>20</v>
      </c>
      <c r="K23" s="120" t="s">
        <v>21</v>
      </c>
      <c r="L23" s="10"/>
    </row>
    <row r="24" spans="1:22" ht="16" customHeight="1" x14ac:dyDescent="0.2">
      <c r="A24" s="81" t="s">
        <v>50</v>
      </c>
      <c r="B24" s="119" t="s">
        <v>46</v>
      </c>
      <c r="C24" s="120" t="s">
        <v>17</v>
      </c>
      <c r="D24" s="120" t="s">
        <v>18</v>
      </c>
      <c r="E24" s="24">
        <v>17.37</v>
      </c>
      <c r="F24" s="80" t="s">
        <v>19</v>
      </c>
      <c r="G24" s="80" t="s">
        <v>19</v>
      </c>
      <c r="H24" s="80" t="s">
        <v>19</v>
      </c>
      <c r="I24" s="80" t="s">
        <v>19</v>
      </c>
      <c r="J24" s="108" t="s">
        <v>20</v>
      </c>
      <c r="K24" s="120" t="s">
        <v>51</v>
      </c>
      <c r="L24" s="10"/>
    </row>
    <row r="25" spans="1:22" ht="16" customHeight="1" x14ac:dyDescent="0.2">
      <c r="A25" s="81" t="s">
        <v>52</v>
      </c>
      <c r="B25" s="117" t="s">
        <v>41</v>
      </c>
      <c r="C25" s="118" t="s">
        <v>25</v>
      </c>
      <c r="D25" s="118" t="s">
        <v>18</v>
      </c>
      <c r="E25" s="24">
        <v>91.46</v>
      </c>
      <c r="F25" s="80" t="s">
        <v>19</v>
      </c>
      <c r="G25" s="80" t="s">
        <v>19</v>
      </c>
      <c r="H25" s="80" t="s">
        <v>19</v>
      </c>
      <c r="I25" s="80" t="s">
        <v>19</v>
      </c>
      <c r="J25" s="108" t="s">
        <v>20</v>
      </c>
      <c r="K25" s="118" t="s">
        <v>51</v>
      </c>
      <c r="L25" s="9"/>
    </row>
    <row r="26" spans="1:22" ht="16" customHeight="1" x14ac:dyDescent="0.2">
      <c r="A26" s="81" t="s">
        <v>53</v>
      </c>
      <c r="B26" s="119" t="s">
        <v>46</v>
      </c>
      <c r="C26" s="120" t="s">
        <v>31</v>
      </c>
      <c r="D26" s="120" t="s">
        <v>34</v>
      </c>
      <c r="E26" s="24">
        <v>114.51</v>
      </c>
      <c r="F26" s="24">
        <v>152.76</v>
      </c>
      <c r="G26" s="24">
        <v>181.78</v>
      </c>
      <c r="H26" s="24">
        <v>207.77</v>
      </c>
      <c r="I26" s="24">
        <v>229.93</v>
      </c>
      <c r="J26" s="116">
        <v>1.0079</v>
      </c>
      <c r="K26" s="120" t="s">
        <v>27</v>
      </c>
      <c r="L26" s="11"/>
    </row>
    <row r="29" spans="1:22" ht="26" customHeight="1" x14ac:dyDescent="0.2">
      <c r="A29" s="188" t="s">
        <v>54</v>
      </c>
      <c r="B29" s="184"/>
      <c r="C29" s="184"/>
      <c r="D29" s="184"/>
      <c r="E29" s="184"/>
      <c r="F29" s="184"/>
      <c r="G29" s="184"/>
      <c r="H29" s="184"/>
      <c r="I29" s="184"/>
      <c r="J29" s="184"/>
      <c r="K29" s="184"/>
      <c r="L29" s="184"/>
      <c r="M29" s="184"/>
      <c r="N29" s="184"/>
      <c r="O29" s="184"/>
      <c r="P29" s="184"/>
      <c r="Q29" s="184"/>
      <c r="R29" s="184"/>
      <c r="S29" s="184"/>
      <c r="T29" s="184"/>
      <c r="U29" s="184"/>
      <c r="V29" s="184"/>
    </row>
    <row r="30" spans="1:22" ht="28" customHeight="1" x14ac:dyDescent="0.2">
      <c r="A30" s="78" t="s">
        <v>4</v>
      </c>
      <c r="B30" s="78" t="s">
        <v>55</v>
      </c>
      <c r="C30" s="78" t="s">
        <v>56</v>
      </c>
      <c r="D30" s="78" t="s">
        <v>57</v>
      </c>
      <c r="E30" s="78" t="s">
        <v>58</v>
      </c>
      <c r="F30" s="78" t="s">
        <v>59</v>
      </c>
      <c r="G30" s="78" t="s">
        <v>60</v>
      </c>
      <c r="H30" s="78" t="s">
        <v>61</v>
      </c>
      <c r="I30" s="78" t="s">
        <v>62</v>
      </c>
      <c r="J30" s="78" t="s">
        <v>63</v>
      </c>
      <c r="K30" s="78" t="s">
        <v>64</v>
      </c>
    </row>
    <row r="31" spans="1:22" ht="57" customHeight="1" x14ac:dyDescent="0.2">
      <c r="A31" s="117" t="s">
        <v>41</v>
      </c>
      <c r="B31" s="24">
        <v>5</v>
      </c>
      <c r="C31" s="24">
        <v>2</v>
      </c>
      <c r="D31" s="24">
        <v>0.4</v>
      </c>
      <c r="E31" s="24">
        <v>50.59</v>
      </c>
      <c r="F31" s="24">
        <v>1.47</v>
      </c>
      <c r="G31" s="24">
        <v>0.87</v>
      </c>
      <c r="H31" s="24">
        <v>2.0699999999999998</v>
      </c>
      <c r="I31" s="118" t="s">
        <v>65</v>
      </c>
      <c r="J31" s="118" t="s">
        <v>66</v>
      </c>
      <c r="K31" s="118" t="s">
        <v>67</v>
      </c>
    </row>
    <row r="32" spans="1:22" ht="57" customHeight="1" x14ac:dyDescent="0.2">
      <c r="A32" s="114" t="s">
        <v>33</v>
      </c>
      <c r="B32" s="116">
        <v>4</v>
      </c>
      <c r="C32" s="116">
        <v>2</v>
      </c>
      <c r="D32" s="112">
        <v>0.5</v>
      </c>
      <c r="E32" s="116">
        <v>80.28</v>
      </c>
      <c r="F32" s="116">
        <v>2.31</v>
      </c>
      <c r="G32" s="116">
        <v>1.93</v>
      </c>
      <c r="H32" s="116">
        <v>2.69</v>
      </c>
      <c r="I32" s="115" t="s">
        <v>68</v>
      </c>
      <c r="J32" s="115" t="s">
        <v>69</v>
      </c>
      <c r="K32" s="115" t="s">
        <v>70</v>
      </c>
    </row>
    <row r="33" spans="1:22" ht="45.75" customHeight="1" x14ac:dyDescent="0.2">
      <c r="A33" s="109" t="s">
        <v>24</v>
      </c>
      <c r="B33" s="24">
        <v>4</v>
      </c>
      <c r="C33" s="24">
        <v>4</v>
      </c>
      <c r="D33" s="24">
        <v>1</v>
      </c>
      <c r="E33" s="24">
        <v>10.57</v>
      </c>
      <c r="F33" s="24">
        <v>0.37</v>
      </c>
      <c r="G33" s="24">
        <v>0.05</v>
      </c>
      <c r="H33" s="24">
        <v>0.82</v>
      </c>
      <c r="I33" s="110" t="s">
        <v>71</v>
      </c>
      <c r="J33" s="110" t="s">
        <v>72</v>
      </c>
      <c r="K33" s="110" t="s">
        <v>73</v>
      </c>
    </row>
    <row r="34" spans="1:22" ht="57" customHeight="1" x14ac:dyDescent="0.2">
      <c r="A34" s="119" t="s">
        <v>46</v>
      </c>
      <c r="B34" s="24">
        <v>6</v>
      </c>
      <c r="C34" s="24">
        <v>3</v>
      </c>
      <c r="D34" s="24">
        <v>0.5</v>
      </c>
      <c r="E34" s="24">
        <v>48.72</v>
      </c>
      <c r="F34" s="24">
        <v>0.93</v>
      </c>
      <c r="G34" s="24">
        <v>0.5</v>
      </c>
      <c r="H34" s="24">
        <v>1.28</v>
      </c>
      <c r="I34" s="120" t="s">
        <v>74</v>
      </c>
      <c r="J34" s="120" t="s">
        <v>75</v>
      </c>
      <c r="K34" s="120" t="s">
        <v>76</v>
      </c>
    </row>
    <row r="35" spans="1:22" ht="34.5" customHeight="1" x14ac:dyDescent="0.2">
      <c r="A35" s="106" t="s">
        <v>16</v>
      </c>
      <c r="B35" s="24">
        <v>1</v>
      </c>
      <c r="C35" s="24">
        <v>0</v>
      </c>
      <c r="D35" s="24">
        <v>0</v>
      </c>
      <c r="E35" s="24">
        <v>36.65</v>
      </c>
      <c r="F35" s="121" t="s">
        <v>20</v>
      </c>
      <c r="G35" s="121" t="s">
        <v>20</v>
      </c>
      <c r="H35" s="121" t="s">
        <v>20</v>
      </c>
      <c r="I35" s="107" t="s">
        <v>77</v>
      </c>
      <c r="J35" s="107" t="s">
        <v>78</v>
      </c>
      <c r="K35" s="107" t="s">
        <v>79</v>
      </c>
    </row>
    <row r="38" spans="1:22" ht="26" customHeight="1" x14ac:dyDescent="0.2">
      <c r="A38" s="188" t="s">
        <v>80</v>
      </c>
      <c r="B38" s="184"/>
      <c r="C38" s="184"/>
      <c r="D38" s="184"/>
      <c r="E38" s="184"/>
      <c r="F38" s="184"/>
      <c r="G38" s="184"/>
      <c r="H38" s="184"/>
      <c r="I38" s="184"/>
      <c r="J38" s="184"/>
      <c r="K38" s="184"/>
      <c r="L38" s="184"/>
      <c r="M38" s="184"/>
      <c r="N38" s="184"/>
      <c r="O38" s="184"/>
      <c r="P38" s="184"/>
      <c r="Q38" s="184"/>
      <c r="R38" s="184"/>
      <c r="S38" s="184"/>
      <c r="T38" s="184"/>
      <c r="U38" s="184"/>
      <c r="V38" s="184"/>
    </row>
    <row r="39" spans="1:22" ht="28" customHeight="1" x14ac:dyDescent="0.2">
      <c r="A39" s="78" t="s">
        <v>3</v>
      </c>
      <c r="B39" s="78" t="s">
        <v>4</v>
      </c>
      <c r="C39" s="78" t="s">
        <v>5</v>
      </c>
      <c r="D39" s="78" t="s">
        <v>81</v>
      </c>
      <c r="E39" s="78" t="s">
        <v>82</v>
      </c>
      <c r="F39" s="78" t="s">
        <v>83</v>
      </c>
      <c r="G39" s="78" t="s">
        <v>84</v>
      </c>
      <c r="H39" s="78" t="s">
        <v>85</v>
      </c>
      <c r="I39" s="78" t="s">
        <v>86</v>
      </c>
      <c r="J39" s="78" t="s">
        <v>87</v>
      </c>
      <c r="K39" s="78" t="s">
        <v>12</v>
      </c>
      <c r="L39" s="78" t="s">
        <v>88</v>
      </c>
      <c r="M39" s="78" t="s">
        <v>89</v>
      </c>
    </row>
    <row r="40" spans="1:22" ht="16" customHeight="1" x14ac:dyDescent="0.2">
      <c r="A40" s="81" t="s">
        <v>29</v>
      </c>
      <c r="B40" s="109" t="s">
        <v>24</v>
      </c>
      <c r="C40" s="110" t="s">
        <v>17</v>
      </c>
      <c r="D40" s="24">
        <v>27</v>
      </c>
      <c r="E40" s="24">
        <v>2.71</v>
      </c>
      <c r="F40" s="24">
        <v>2.5099999999999998</v>
      </c>
      <c r="G40" s="24">
        <v>3.72</v>
      </c>
      <c r="H40" s="24">
        <v>3.84</v>
      </c>
      <c r="I40" s="24">
        <v>4.0999999999999996</v>
      </c>
      <c r="J40" s="24">
        <v>4.22</v>
      </c>
      <c r="K40" s="24">
        <v>0.55700000000000005</v>
      </c>
      <c r="L40" s="97" t="s">
        <v>90</v>
      </c>
      <c r="M40" s="110" t="s">
        <v>91</v>
      </c>
    </row>
    <row r="41" spans="1:22" ht="23.25" customHeight="1" x14ac:dyDescent="0.2">
      <c r="A41" s="81" t="s">
        <v>28</v>
      </c>
      <c r="B41" s="109" t="s">
        <v>24</v>
      </c>
      <c r="C41" s="110" t="s">
        <v>25</v>
      </c>
      <c r="D41" s="24">
        <v>35</v>
      </c>
      <c r="E41" s="24">
        <v>6.38</v>
      </c>
      <c r="F41" s="24">
        <v>4.5599999999999996</v>
      </c>
      <c r="G41" s="24">
        <v>6.3</v>
      </c>
      <c r="H41" s="24">
        <v>6.31</v>
      </c>
      <c r="I41" s="24">
        <v>6.63</v>
      </c>
      <c r="J41" s="24">
        <v>6.7</v>
      </c>
      <c r="K41" s="24">
        <v>0.05</v>
      </c>
      <c r="L41" s="88" t="s">
        <v>92</v>
      </c>
      <c r="M41" s="110" t="s">
        <v>93</v>
      </c>
    </row>
    <row r="42" spans="1:22" ht="23.25" customHeight="1" x14ac:dyDescent="0.2">
      <c r="A42" s="81" t="s">
        <v>30</v>
      </c>
      <c r="B42" s="109" t="s">
        <v>24</v>
      </c>
      <c r="C42" s="110" t="s">
        <v>31</v>
      </c>
      <c r="D42" s="24">
        <v>45</v>
      </c>
      <c r="E42" s="24">
        <v>6.14</v>
      </c>
      <c r="F42" s="24">
        <v>3.41</v>
      </c>
      <c r="G42" s="24">
        <v>9.07</v>
      </c>
      <c r="H42" s="24">
        <v>9.75</v>
      </c>
      <c r="I42" s="24">
        <v>10.1</v>
      </c>
      <c r="J42" s="24">
        <v>11.2</v>
      </c>
      <c r="K42" s="24">
        <v>0.82399999999999995</v>
      </c>
      <c r="L42" s="122" t="s">
        <v>94</v>
      </c>
      <c r="M42" s="110" t="s">
        <v>95</v>
      </c>
    </row>
    <row r="43" spans="1:22" ht="23.25" customHeight="1" x14ac:dyDescent="0.2">
      <c r="A43" s="81" t="s">
        <v>23</v>
      </c>
      <c r="B43" s="109" t="s">
        <v>24</v>
      </c>
      <c r="C43" s="110" t="s">
        <v>25</v>
      </c>
      <c r="D43" s="24">
        <v>115</v>
      </c>
      <c r="E43" s="24">
        <v>27.05</v>
      </c>
      <c r="F43" s="24">
        <v>5.88</v>
      </c>
      <c r="G43" s="24">
        <v>17.39</v>
      </c>
      <c r="H43" s="24">
        <v>20.010000000000002</v>
      </c>
      <c r="I43" s="24">
        <v>23.42</v>
      </c>
      <c r="J43" s="24">
        <v>28.43</v>
      </c>
      <c r="K43" s="24">
        <v>5.0999999999999997E-2</v>
      </c>
      <c r="L43" s="88" t="s">
        <v>92</v>
      </c>
      <c r="M43" s="110" t="s">
        <v>96</v>
      </c>
    </row>
    <row r="44" spans="1:22" ht="23.25" customHeight="1" x14ac:dyDescent="0.2">
      <c r="A44" s="81" t="s">
        <v>42</v>
      </c>
      <c r="B44" s="117" t="s">
        <v>41</v>
      </c>
      <c r="C44" s="118" t="s">
        <v>17</v>
      </c>
      <c r="D44" s="24">
        <v>55</v>
      </c>
      <c r="E44" s="24">
        <v>20.8</v>
      </c>
      <c r="F44" s="24">
        <v>9.4499999999999993</v>
      </c>
      <c r="G44" s="24">
        <v>32.21</v>
      </c>
      <c r="H44" s="24">
        <v>34.78</v>
      </c>
      <c r="I44" s="24">
        <v>36.770000000000003</v>
      </c>
      <c r="J44" s="24">
        <v>38.9</v>
      </c>
      <c r="K44" s="24">
        <v>0.87</v>
      </c>
      <c r="L44" s="122" t="s">
        <v>94</v>
      </c>
      <c r="M44" s="118" t="s">
        <v>97</v>
      </c>
    </row>
    <row r="45" spans="1:22" ht="23.25" customHeight="1" x14ac:dyDescent="0.2">
      <c r="A45" s="81" t="s">
        <v>44</v>
      </c>
      <c r="B45" s="117" t="s">
        <v>41</v>
      </c>
      <c r="C45" s="118" t="s">
        <v>31</v>
      </c>
      <c r="D45" s="24">
        <v>75</v>
      </c>
      <c r="E45" s="24">
        <v>20.8</v>
      </c>
      <c r="F45" s="24">
        <v>6.93</v>
      </c>
      <c r="G45" s="24">
        <v>32.229999999999997</v>
      </c>
      <c r="H45" s="24">
        <v>34.78</v>
      </c>
      <c r="I45" s="24">
        <v>36.770000000000003</v>
      </c>
      <c r="J45" s="24">
        <v>38.9</v>
      </c>
      <c r="K45" s="24">
        <v>0.87</v>
      </c>
      <c r="L45" s="122" t="s">
        <v>94</v>
      </c>
      <c r="M45" s="118" t="s">
        <v>98</v>
      </c>
    </row>
    <row r="46" spans="1:22" ht="23.25" customHeight="1" x14ac:dyDescent="0.2">
      <c r="A46" s="81" t="s">
        <v>40</v>
      </c>
      <c r="B46" s="117" t="s">
        <v>41</v>
      </c>
      <c r="C46" s="118" t="s">
        <v>17</v>
      </c>
      <c r="D46" s="24">
        <v>53</v>
      </c>
      <c r="E46" s="24">
        <v>60.09</v>
      </c>
      <c r="F46" s="24">
        <v>28.35</v>
      </c>
      <c r="G46" s="24">
        <v>92.45</v>
      </c>
      <c r="H46" s="24">
        <v>119.39</v>
      </c>
      <c r="I46" s="24">
        <v>140.47999999999999</v>
      </c>
      <c r="J46" s="24">
        <v>183.64</v>
      </c>
      <c r="K46" s="24">
        <v>2.056</v>
      </c>
      <c r="L46" s="80" t="s">
        <v>99</v>
      </c>
      <c r="M46" s="118" t="s">
        <v>100</v>
      </c>
    </row>
    <row r="47" spans="1:22" ht="16" customHeight="1" x14ac:dyDescent="0.2">
      <c r="A47" s="81" t="s">
        <v>36</v>
      </c>
      <c r="B47" s="114" t="s">
        <v>33</v>
      </c>
      <c r="C47" s="115" t="s">
        <v>17</v>
      </c>
      <c r="D47" s="24">
        <v>25</v>
      </c>
      <c r="E47" s="24">
        <v>26.66</v>
      </c>
      <c r="F47" s="24">
        <v>26.66</v>
      </c>
      <c r="G47" s="24">
        <v>46.71</v>
      </c>
      <c r="H47" s="24">
        <v>50.56</v>
      </c>
      <c r="I47" s="24">
        <v>75.86</v>
      </c>
      <c r="J47" s="24">
        <v>78.040000000000006</v>
      </c>
      <c r="K47" s="24">
        <v>1.927</v>
      </c>
      <c r="L47" s="80" t="s">
        <v>99</v>
      </c>
      <c r="M47" s="115" t="s">
        <v>101</v>
      </c>
    </row>
    <row r="48" spans="1:22" ht="23.25" customHeight="1" x14ac:dyDescent="0.2">
      <c r="A48" s="81" t="s">
        <v>39</v>
      </c>
      <c r="B48" s="114" t="s">
        <v>33</v>
      </c>
      <c r="C48" s="115" t="s">
        <v>25</v>
      </c>
      <c r="D48" s="24">
        <v>50</v>
      </c>
      <c r="E48" s="24">
        <v>18.07</v>
      </c>
      <c r="F48" s="24">
        <v>9.0399999999999991</v>
      </c>
      <c r="G48" s="24">
        <v>24.44</v>
      </c>
      <c r="H48" s="24">
        <v>41.5</v>
      </c>
      <c r="I48" s="24">
        <v>77.36</v>
      </c>
      <c r="J48" s="24">
        <v>66.650000000000006</v>
      </c>
      <c r="K48" s="24">
        <v>2.6880000000000002</v>
      </c>
      <c r="L48" s="80" t="s">
        <v>99</v>
      </c>
      <c r="M48" s="115" t="s">
        <v>102</v>
      </c>
    </row>
    <row r="49" spans="1:22" ht="23.25" customHeight="1" x14ac:dyDescent="0.2">
      <c r="A49" s="81" t="s">
        <v>45</v>
      </c>
      <c r="B49" s="119" t="s">
        <v>46</v>
      </c>
      <c r="C49" s="120" t="s">
        <v>31</v>
      </c>
      <c r="D49" s="24">
        <v>95</v>
      </c>
      <c r="E49" s="24">
        <v>73.7</v>
      </c>
      <c r="F49" s="24">
        <v>19.39</v>
      </c>
      <c r="G49" s="24">
        <v>87.28</v>
      </c>
      <c r="H49" s="24">
        <v>98.58</v>
      </c>
      <c r="I49" s="24">
        <v>105.88</v>
      </c>
      <c r="J49" s="24">
        <v>110.68</v>
      </c>
      <c r="K49" s="24">
        <v>0.502</v>
      </c>
      <c r="L49" s="97" t="s">
        <v>90</v>
      </c>
      <c r="M49" s="120" t="s">
        <v>103</v>
      </c>
    </row>
    <row r="50" spans="1:22" ht="23.25" customHeight="1" x14ac:dyDescent="0.2">
      <c r="A50" s="81" t="s">
        <v>47</v>
      </c>
      <c r="B50" s="119" t="s">
        <v>46</v>
      </c>
      <c r="C50" s="120" t="s">
        <v>31</v>
      </c>
      <c r="D50" s="24">
        <v>75</v>
      </c>
      <c r="E50" s="24">
        <v>40.5</v>
      </c>
      <c r="F50" s="24">
        <v>13.5</v>
      </c>
      <c r="G50" s="24">
        <v>71.180000000000007</v>
      </c>
      <c r="H50" s="24">
        <v>79.28</v>
      </c>
      <c r="I50" s="24">
        <v>78.290000000000006</v>
      </c>
      <c r="J50" s="24">
        <v>88.54</v>
      </c>
      <c r="K50" s="24">
        <v>1.1859999999999999</v>
      </c>
      <c r="L50" s="80" t="s">
        <v>99</v>
      </c>
      <c r="M50" s="120" t="s">
        <v>104</v>
      </c>
    </row>
    <row r="51" spans="1:22" ht="23.25" customHeight="1" x14ac:dyDescent="0.2">
      <c r="A51" s="81" t="s">
        <v>48</v>
      </c>
      <c r="B51" s="119" t="s">
        <v>46</v>
      </c>
      <c r="C51" s="120" t="s">
        <v>31</v>
      </c>
      <c r="D51" s="24">
        <v>75</v>
      </c>
      <c r="E51" s="24">
        <v>31.08</v>
      </c>
      <c r="F51" s="24">
        <v>10.36</v>
      </c>
      <c r="G51" s="24">
        <v>44.78</v>
      </c>
      <c r="H51" s="24">
        <v>48.69</v>
      </c>
      <c r="I51" s="24">
        <v>54.31</v>
      </c>
      <c r="J51" s="24">
        <v>70.8</v>
      </c>
      <c r="K51" s="24">
        <v>1.278</v>
      </c>
      <c r="L51" s="80" t="s">
        <v>99</v>
      </c>
      <c r="M51" s="120" t="s">
        <v>105</v>
      </c>
    </row>
    <row r="52" spans="1:22" ht="23.25" customHeight="1" x14ac:dyDescent="0.2">
      <c r="A52" s="81" t="s">
        <v>53</v>
      </c>
      <c r="B52" s="119" t="s">
        <v>46</v>
      </c>
      <c r="C52" s="120" t="s">
        <v>31</v>
      </c>
      <c r="D52" s="24">
        <v>100</v>
      </c>
      <c r="E52" s="24">
        <v>114.51</v>
      </c>
      <c r="F52" s="24">
        <v>28.63</v>
      </c>
      <c r="G52" s="24">
        <v>152.76</v>
      </c>
      <c r="H52" s="24">
        <v>181.78</v>
      </c>
      <c r="I52" s="24">
        <v>207.77</v>
      </c>
      <c r="J52" s="24">
        <v>229.93</v>
      </c>
      <c r="K52" s="24">
        <v>1.008</v>
      </c>
      <c r="L52" s="80" t="s">
        <v>99</v>
      </c>
      <c r="M52" s="120" t="s">
        <v>106</v>
      </c>
    </row>
    <row r="55" spans="1:22" ht="26" customHeight="1" x14ac:dyDescent="0.2">
      <c r="A55" s="188" t="s">
        <v>107</v>
      </c>
      <c r="B55" s="184"/>
      <c r="C55" s="184"/>
      <c r="D55" s="184"/>
      <c r="E55" s="184"/>
      <c r="F55" s="184"/>
      <c r="G55" s="184"/>
      <c r="H55" s="184"/>
      <c r="I55" s="184"/>
      <c r="J55" s="184"/>
      <c r="K55" s="184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</row>
    <row r="56" spans="1:22" ht="28" customHeight="1" x14ac:dyDescent="0.2">
      <c r="A56" s="78" t="s">
        <v>4</v>
      </c>
      <c r="B56" s="78" t="s">
        <v>108</v>
      </c>
      <c r="C56" s="78" t="s">
        <v>6</v>
      </c>
      <c r="D56" s="78" t="s">
        <v>82</v>
      </c>
      <c r="E56" s="78" t="s">
        <v>109</v>
      </c>
      <c r="F56" s="78" t="s">
        <v>110</v>
      </c>
      <c r="G56" s="78" t="s">
        <v>111</v>
      </c>
      <c r="H56" s="78" t="s">
        <v>112</v>
      </c>
      <c r="I56" s="78" t="s">
        <v>113</v>
      </c>
      <c r="J56" s="78" t="s">
        <v>114</v>
      </c>
      <c r="K56" s="78" t="s">
        <v>115</v>
      </c>
      <c r="L56" s="78" t="s">
        <v>116</v>
      </c>
    </row>
    <row r="57" spans="1:22" ht="34.5" customHeight="1" x14ac:dyDescent="0.2">
      <c r="A57" s="114" t="s">
        <v>33</v>
      </c>
      <c r="B57" s="81" t="s">
        <v>32</v>
      </c>
      <c r="C57" s="123" t="s">
        <v>34</v>
      </c>
      <c r="D57" s="24">
        <v>49.17</v>
      </c>
      <c r="E57" s="24">
        <v>85.07</v>
      </c>
      <c r="F57" s="24">
        <v>114.66</v>
      </c>
      <c r="G57" s="124" t="s">
        <v>19</v>
      </c>
      <c r="H57" s="124" t="s">
        <v>19</v>
      </c>
      <c r="I57" s="125" t="s">
        <v>20</v>
      </c>
      <c r="J57" s="115" t="s">
        <v>117</v>
      </c>
      <c r="K57" s="115" t="s">
        <v>118</v>
      </c>
      <c r="L57" s="115" t="s">
        <v>119</v>
      </c>
    </row>
    <row r="58" spans="1:22" ht="34.5" customHeight="1" x14ac:dyDescent="0.2">
      <c r="A58" s="114" t="s">
        <v>33</v>
      </c>
      <c r="B58" s="81" t="s">
        <v>35</v>
      </c>
      <c r="C58" s="126" t="s">
        <v>18</v>
      </c>
      <c r="D58" s="24">
        <v>106.19</v>
      </c>
      <c r="E58" s="24">
        <v>298.10000000000002</v>
      </c>
      <c r="F58" s="24">
        <v>488.17</v>
      </c>
      <c r="G58" s="124" t="s">
        <v>19</v>
      </c>
      <c r="H58" s="124" t="s">
        <v>19</v>
      </c>
      <c r="I58" s="125" t="s">
        <v>20</v>
      </c>
      <c r="J58" s="115" t="s">
        <v>117</v>
      </c>
      <c r="K58" s="115" t="s">
        <v>120</v>
      </c>
      <c r="L58" s="115" t="s">
        <v>121</v>
      </c>
    </row>
    <row r="59" spans="1:22" ht="34.5" customHeight="1" x14ac:dyDescent="0.2">
      <c r="A59" s="114" t="s">
        <v>33</v>
      </c>
      <c r="B59" s="81" t="s">
        <v>36</v>
      </c>
      <c r="C59" s="123" t="s">
        <v>34</v>
      </c>
      <c r="D59" s="24">
        <v>26.66</v>
      </c>
      <c r="E59" s="24">
        <v>46.71</v>
      </c>
      <c r="F59" s="24">
        <v>50.56</v>
      </c>
      <c r="G59" s="24">
        <v>75.86</v>
      </c>
      <c r="H59" s="24">
        <v>78.040000000000006</v>
      </c>
      <c r="I59" s="24">
        <v>1.927</v>
      </c>
      <c r="J59" s="115" t="s">
        <v>122</v>
      </c>
      <c r="K59" s="115" t="s">
        <v>123</v>
      </c>
      <c r="L59" s="115" t="s">
        <v>124</v>
      </c>
    </row>
    <row r="60" spans="1:22" ht="34.5" customHeight="1" x14ac:dyDescent="0.2">
      <c r="A60" s="114" t="s">
        <v>33</v>
      </c>
      <c r="B60" s="81" t="s">
        <v>37</v>
      </c>
      <c r="C60" s="126" t="s">
        <v>18</v>
      </c>
      <c r="D60" s="24">
        <v>221.2</v>
      </c>
      <c r="E60" s="124" t="s">
        <v>19</v>
      </c>
      <c r="F60" s="124" t="s">
        <v>19</v>
      </c>
      <c r="G60" s="124" t="s">
        <v>19</v>
      </c>
      <c r="H60" s="124" t="s">
        <v>19</v>
      </c>
      <c r="I60" s="125" t="s">
        <v>20</v>
      </c>
      <c r="J60" s="115" t="s">
        <v>125</v>
      </c>
      <c r="K60" s="115" t="s">
        <v>126</v>
      </c>
      <c r="L60" s="115" t="s">
        <v>127</v>
      </c>
    </row>
    <row r="61" spans="1:22" ht="34.5" customHeight="1" x14ac:dyDescent="0.2">
      <c r="A61" s="119" t="s">
        <v>46</v>
      </c>
      <c r="B61" s="81" t="s">
        <v>49</v>
      </c>
      <c r="C61" s="126" t="s">
        <v>18</v>
      </c>
      <c r="D61" s="24">
        <v>15.17</v>
      </c>
      <c r="E61" s="24">
        <v>338.61</v>
      </c>
      <c r="F61" s="24">
        <v>357</v>
      </c>
      <c r="G61" s="124" t="s">
        <v>19</v>
      </c>
      <c r="H61" s="124" t="s">
        <v>19</v>
      </c>
      <c r="I61" s="127" t="s">
        <v>20</v>
      </c>
      <c r="J61" s="120" t="s">
        <v>117</v>
      </c>
      <c r="K61" s="120" t="s">
        <v>128</v>
      </c>
      <c r="L61" s="120" t="s">
        <v>129</v>
      </c>
    </row>
    <row r="62" spans="1:22" ht="34.5" customHeight="1" x14ac:dyDescent="0.2">
      <c r="A62" s="119" t="s">
        <v>46</v>
      </c>
      <c r="B62" s="81" t="s">
        <v>50</v>
      </c>
      <c r="C62" s="126" t="s">
        <v>18</v>
      </c>
      <c r="D62" s="24">
        <v>17.37</v>
      </c>
      <c r="E62" s="124" t="s">
        <v>19</v>
      </c>
      <c r="F62" s="124" t="s">
        <v>19</v>
      </c>
      <c r="G62" s="124" t="s">
        <v>19</v>
      </c>
      <c r="H62" s="124" t="s">
        <v>19</v>
      </c>
      <c r="I62" s="127" t="s">
        <v>20</v>
      </c>
      <c r="J62" s="120" t="s">
        <v>125</v>
      </c>
      <c r="K62" s="120" t="s">
        <v>128</v>
      </c>
      <c r="L62" s="120" t="s">
        <v>130</v>
      </c>
    </row>
    <row r="63" spans="1:22" ht="34.5" customHeight="1" x14ac:dyDescent="0.2">
      <c r="A63" s="119" t="s">
        <v>46</v>
      </c>
      <c r="B63" s="81" t="s">
        <v>45</v>
      </c>
      <c r="C63" s="126" t="s">
        <v>18</v>
      </c>
      <c r="D63" s="24">
        <v>73.7</v>
      </c>
      <c r="E63" s="24">
        <v>87.28</v>
      </c>
      <c r="F63" s="24">
        <v>98.58</v>
      </c>
      <c r="G63" s="24">
        <v>105.88</v>
      </c>
      <c r="H63" s="24">
        <v>110.68</v>
      </c>
      <c r="I63" s="24">
        <v>0.502</v>
      </c>
      <c r="J63" s="120" t="s">
        <v>122</v>
      </c>
      <c r="K63" s="120" t="s">
        <v>123</v>
      </c>
      <c r="L63" s="120" t="s">
        <v>131</v>
      </c>
    </row>
    <row r="64" spans="1:22" ht="34.5" customHeight="1" x14ac:dyDescent="0.2">
      <c r="A64" s="119" t="s">
        <v>46</v>
      </c>
      <c r="B64" s="81" t="s">
        <v>47</v>
      </c>
      <c r="C64" s="123" t="s">
        <v>34</v>
      </c>
      <c r="D64" s="24">
        <v>40.5</v>
      </c>
      <c r="E64" s="24">
        <v>71.180000000000007</v>
      </c>
      <c r="F64" s="24">
        <v>79.28</v>
      </c>
      <c r="G64" s="24">
        <v>78.290000000000006</v>
      </c>
      <c r="H64" s="24">
        <v>88.54</v>
      </c>
      <c r="I64" s="24">
        <v>1.1859999999999999</v>
      </c>
      <c r="J64" s="120" t="s">
        <v>122</v>
      </c>
      <c r="K64" s="120" t="s">
        <v>123</v>
      </c>
      <c r="L64" s="120" t="s">
        <v>132</v>
      </c>
    </row>
    <row r="65" spans="1:22" ht="23.25" customHeight="1" x14ac:dyDescent="0.2">
      <c r="A65" s="117" t="s">
        <v>41</v>
      </c>
      <c r="B65" s="81" t="s">
        <v>40</v>
      </c>
      <c r="C65" s="126" t="s">
        <v>18</v>
      </c>
      <c r="D65" s="24">
        <v>60.09</v>
      </c>
      <c r="E65" s="24">
        <v>92.45</v>
      </c>
      <c r="F65" s="24">
        <v>119.39</v>
      </c>
      <c r="G65" s="24">
        <v>140.47999999999999</v>
      </c>
      <c r="H65" s="24">
        <v>183.64</v>
      </c>
      <c r="I65" s="24">
        <v>2.056</v>
      </c>
      <c r="J65" s="118" t="s">
        <v>122</v>
      </c>
      <c r="K65" s="118" t="s">
        <v>123</v>
      </c>
      <c r="L65" s="118" t="s">
        <v>133</v>
      </c>
    </row>
    <row r="66" spans="1:22" ht="34.5" customHeight="1" x14ac:dyDescent="0.2">
      <c r="A66" s="117" t="s">
        <v>41</v>
      </c>
      <c r="B66" s="81" t="s">
        <v>42</v>
      </c>
      <c r="C66" s="126" t="s">
        <v>18</v>
      </c>
      <c r="D66" s="24">
        <v>20.8</v>
      </c>
      <c r="E66" s="24">
        <v>32.21</v>
      </c>
      <c r="F66" s="24">
        <v>34.78</v>
      </c>
      <c r="G66" s="24">
        <v>36.770000000000003</v>
      </c>
      <c r="H66" s="24">
        <v>38.9</v>
      </c>
      <c r="I66" s="24">
        <v>0.87</v>
      </c>
      <c r="J66" s="118" t="s">
        <v>122</v>
      </c>
      <c r="K66" s="118" t="s">
        <v>123</v>
      </c>
      <c r="L66" s="118" t="s">
        <v>134</v>
      </c>
    </row>
    <row r="67" spans="1:22" ht="34.5" customHeight="1" x14ac:dyDescent="0.2">
      <c r="A67" s="117" t="s">
        <v>41</v>
      </c>
      <c r="B67" s="81" t="s">
        <v>52</v>
      </c>
      <c r="C67" s="126" t="s">
        <v>18</v>
      </c>
      <c r="D67" s="24">
        <v>91.46</v>
      </c>
      <c r="E67" s="124" t="s">
        <v>19</v>
      </c>
      <c r="F67" s="124" t="s">
        <v>19</v>
      </c>
      <c r="G67" s="124" t="s">
        <v>19</v>
      </c>
      <c r="H67" s="124" t="s">
        <v>19</v>
      </c>
      <c r="I67" s="128" t="s">
        <v>20</v>
      </c>
      <c r="J67" s="118" t="s">
        <v>125</v>
      </c>
      <c r="K67" s="118" t="s">
        <v>128</v>
      </c>
      <c r="L67" s="118" t="s">
        <v>135</v>
      </c>
    </row>
    <row r="68" spans="1:22" ht="34.5" customHeight="1" x14ac:dyDescent="0.2">
      <c r="A68" s="109" t="s">
        <v>24</v>
      </c>
      <c r="B68" s="81" t="s">
        <v>28</v>
      </c>
      <c r="C68" s="129" t="s">
        <v>26</v>
      </c>
      <c r="D68" s="24">
        <v>6.38</v>
      </c>
      <c r="E68" s="24">
        <v>6.3</v>
      </c>
      <c r="F68" s="24">
        <v>6.31</v>
      </c>
      <c r="G68" s="24">
        <v>6.63</v>
      </c>
      <c r="H68" s="24">
        <v>6.7</v>
      </c>
      <c r="I68" s="24">
        <v>0.05</v>
      </c>
      <c r="J68" s="110" t="s">
        <v>122</v>
      </c>
      <c r="K68" s="110" t="s">
        <v>123</v>
      </c>
      <c r="L68" s="110" t="s">
        <v>136</v>
      </c>
    </row>
    <row r="69" spans="1:22" ht="34.5" customHeight="1" x14ac:dyDescent="0.2">
      <c r="A69" s="109" t="s">
        <v>24</v>
      </c>
      <c r="B69" s="81" t="s">
        <v>29</v>
      </c>
      <c r="C69" s="129" t="s">
        <v>26</v>
      </c>
      <c r="D69" s="24">
        <v>2.71</v>
      </c>
      <c r="E69" s="24">
        <v>3.72</v>
      </c>
      <c r="F69" s="24">
        <v>3.84</v>
      </c>
      <c r="G69" s="24">
        <v>4.0999999999999996</v>
      </c>
      <c r="H69" s="24">
        <v>4.22</v>
      </c>
      <c r="I69" s="24">
        <v>0.55700000000000005</v>
      </c>
      <c r="J69" s="110" t="s">
        <v>122</v>
      </c>
      <c r="K69" s="110" t="s">
        <v>123</v>
      </c>
      <c r="L69" s="110" t="s">
        <v>137</v>
      </c>
    </row>
    <row r="72" spans="1:22" ht="26" customHeight="1" x14ac:dyDescent="0.2">
      <c r="A72" s="188" t="s">
        <v>138</v>
      </c>
      <c r="B72" s="184"/>
      <c r="C72" s="184"/>
      <c r="D72" s="184"/>
      <c r="E72" s="184"/>
      <c r="F72" s="184"/>
      <c r="G72" s="184"/>
      <c r="H72" s="184"/>
      <c r="I72" s="184"/>
      <c r="J72" s="184"/>
      <c r="K72" s="184"/>
      <c r="L72" s="184"/>
      <c r="M72" s="184"/>
      <c r="N72" s="184"/>
      <c r="O72" s="184"/>
      <c r="P72" s="184"/>
      <c r="Q72" s="184"/>
      <c r="R72" s="184"/>
      <c r="S72" s="184"/>
      <c r="T72" s="184"/>
      <c r="U72" s="184"/>
      <c r="V72" s="184"/>
    </row>
    <row r="73" spans="1:22" ht="26" customHeight="1" x14ac:dyDescent="0.2">
      <c r="A73" s="105" t="s">
        <v>139</v>
      </c>
      <c r="B73" s="105" t="s">
        <v>140</v>
      </c>
      <c r="C73" s="105" t="s">
        <v>141</v>
      </c>
      <c r="D73" s="105" t="s">
        <v>142</v>
      </c>
      <c r="E73" s="105" t="s">
        <v>143</v>
      </c>
      <c r="F73" s="105" t="s">
        <v>144</v>
      </c>
    </row>
    <row r="74" spans="1:22" ht="15" customHeight="1" x14ac:dyDescent="0.2">
      <c r="A74" s="130" t="s">
        <v>145</v>
      </c>
      <c r="B74" s="116">
        <v>6.38</v>
      </c>
      <c r="C74" s="116">
        <v>6.3</v>
      </c>
      <c r="D74" s="116">
        <v>6.31</v>
      </c>
      <c r="E74" s="116">
        <v>6.63</v>
      </c>
      <c r="F74" s="116">
        <v>6.7</v>
      </c>
    </row>
    <row r="75" spans="1:22" ht="15" customHeight="1" x14ac:dyDescent="0.2">
      <c r="A75" s="131" t="s">
        <v>146</v>
      </c>
      <c r="B75" s="116">
        <v>2.71</v>
      </c>
      <c r="C75" s="116">
        <v>3.72</v>
      </c>
      <c r="D75" s="116">
        <v>3.84</v>
      </c>
      <c r="E75" s="116">
        <v>4.0999999999999996</v>
      </c>
      <c r="F75" s="116">
        <v>4.22</v>
      </c>
    </row>
    <row r="76" spans="1:22" ht="15" customHeight="1" x14ac:dyDescent="0.2">
      <c r="A76" s="132" t="s">
        <v>147</v>
      </c>
      <c r="B76" s="24">
        <v>6.14</v>
      </c>
      <c r="C76" s="24">
        <v>9.07</v>
      </c>
      <c r="D76" s="24">
        <v>9.75</v>
      </c>
      <c r="E76" s="24">
        <v>10.1</v>
      </c>
      <c r="F76" s="24">
        <v>11.2</v>
      </c>
    </row>
    <row r="77" spans="1:22" ht="15" customHeight="1" x14ac:dyDescent="0.2">
      <c r="A77" s="118" t="s">
        <v>148</v>
      </c>
      <c r="B77" s="24">
        <v>20.8</v>
      </c>
      <c r="C77" s="24">
        <v>32.21</v>
      </c>
      <c r="D77" s="24">
        <v>34.78</v>
      </c>
      <c r="E77" s="24">
        <v>36.770000000000003</v>
      </c>
      <c r="F77" s="24">
        <v>38.9</v>
      </c>
    </row>
    <row r="78" spans="1:22" ht="15" customHeight="1" x14ac:dyDescent="0.2">
      <c r="A78" s="133" t="s">
        <v>149</v>
      </c>
      <c r="B78" s="24">
        <v>20.8</v>
      </c>
      <c r="C78" s="24">
        <v>32.229999999999997</v>
      </c>
      <c r="D78" s="24">
        <v>34.78</v>
      </c>
      <c r="E78" s="24">
        <v>36.770000000000003</v>
      </c>
      <c r="F78" s="24">
        <v>38.9</v>
      </c>
    </row>
    <row r="79" spans="1:22" ht="15" customHeight="1" x14ac:dyDescent="0.2">
      <c r="A79" s="115" t="s">
        <v>150</v>
      </c>
      <c r="B79" s="116">
        <v>26.66</v>
      </c>
      <c r="C79" s="116">
        <v>46.71</v>
      </c>
      <c r="D79" s="116">
        <v>50.56</v>
      </c>
      <c r="E79" s="116">
        <v>75.86</v>
      </c>
      <c r="F79" s="116">
        <v>78.040000000000006</v>
      </c>
    </row>
    <row r="80" spans="1:22" ht="15" customHeight="1" x14ac:dyDescent="0.2">
      <c r="A80" s="134" t="s">
        <v>151</v>
      </c>
      <c r="B80" s="24">
        <v>18.07</v>
      </c>
      <c r="C80" s="24">
        <v>24.44</v>
      </c>
      <c r="D80" s="24">
        <v>41.5</v>
      </c>
      <c r="E80" s="24">
        <v>77.36</v>
      </c>
      <c r="F80" s="24">
        <v>66.650000000000006</v>
      </c>
    </row>
    <row r="81" spans="1:22" ht="15" customHeight="1" x14ac:dyDescent="0.2">
      <c r="A81" s="120" t="s">
        <v>152</v>
      </c>
      <c r="B81" s="24">
        <v>73.7</v>
      </c>
      <c r="C81" s="24">
        <v>87.28</v>
      </c>
      <c r="D81" s="24">
        <v>98.58</v>
      </c>
      <c r="E81" s="24">
        <v>105.88</v>
      </c>
      <c r="F81" s="24">
        <v>110.68</v>
      </c>
    </row>
    <row r="82" spans="1:22" ht="15" customHeight="1" x14ac:dyDescent="0.2">
      <c r="A82" s="135" t="s">
        <v>153</v>
      </c>
      <c r="B82" s="24">
        <v>40.5</v>
      </c>
      <c r="C82" s="24">
        <v>71.180000000000007</v>
      </c>
      <c r="D82" s="24">
        <v>79.28</v>
      </c>
      <c r="E82" s="24">
        <v>78.290000000000006</v>
      </c>
      <c r="F82" s="24">
        <v>88.54</v>
      </c>
    </row>
    <row r="83" spans="1:22" ht="15" customHeight="1" x14ac:dyDescent="0.2">
      <c r="A83" s="136" t="s">
        <v>154</v>
      </c>
      <c r="B83" s="24">
        <v>114.51</v>
      </c>
      <c r="C83" s="24">
        <v>152.76</v>
      </c>
      <c r="D83" s="24">
        <v>181.78</v>
      </c>
      <c r="E83" s="24">
        <v>207.77</v>
      </c>
      <c r="F83" s="24">
        <v>229.93</v>
      </c>
    </row>
    <row r="86" spans="1:22" ht="26" customHeight="1" x14ac:dyDescent="0.2">
      <c r="A86" s="188" t="s">
        <v>155</v>
      </c>
      <c r="B86" s="184"/>
      <c r="C86" s="184"/>
      <c r="D86" s="184"/>
      <c r="E86" s="184"/>
      <c r="F86" s="184"/>
      <c r="G86" s="184"/>
      <c r="H86" s="184"/>
      <c r="I86" s="184"/>
      <c r="J86" s="184"/>
      <c r="K86" s="184"/>
      <c r="L86" s="184"/>
      <c r="M86" s="184"/>
      <c r="N86" s="184"/>
      <c r="O86" s="184"/>
      <c r="P86" s="184"/>
      <c r="Q86" s="184"/>
      <c r="R86" s="184"/>
      <c r="S86" s="184"/>
      <c r="T86" s="184"/>
      <c r="U86" s="184"/>
      <c r="V86" s="184"/>
    </row>
    <row r="87" spans="1:22" ht="26" customHeight="1" x14ac:dyDescent="0.2">
      <c r="A87" s="105" t="s">
        <v>139</v>
      </c>
      <c r="B87" s="105" t="s">
        <v>156</v>
      </c>
      <c r="C87" s="105" t="s">
        <v>157</v>
      </c>
      <c r="D87" s="105" t="s">
        <v>158</v>
      </c>
      <c r="E87" s="105" t="s">
        <v>159</v>
      </c>
      <c r="F87" s="105" t="s">
        <v>160</v>
      </c>
    </row>
    <row r="88" spans="1:22" ht="15" customHeight="1" x14ac:dyDescent="0.2">
      <c r="A88" s="130" t="s">
        <v>145</v>
      </c>
      <c r="B88" s="111">
        <v>-1.2539184952978099E-2</v>
      </c>
      <c r="C88" s="111">
        <v>-1.0971786833855799E-2</v>
      </c>
      <c r="D88" s="111">
        <v>3.9184952978056402E-2</v>
      </c>
      <c r="E88" s="111">
        <v>5.01567398119123E-2</v>
      </c>
      <c r="F88" s="88" t="s">
        <v>92</v>
      </c>
    </row>
    <row r="89" spans="1:22" ht="23.25" customHeight="1" x14ac:dyDescent="0.2">
      <c r="A89" s="131" t="s">
        <v>146</v>
      </c>
      <c r="B89" s="112">
        <v>0.37269372693726999</v>
      </c>
      <c r="C89" s="112">
        <v>0.41697416974169699</v>
      </c>
      <c r="D89" s="112">
        <v>0.512915129151291</v>
      </c>
      <c r="E89" s="112">
        <v>0.557195571955719</v>
      </c>
      <c r="F89" s="97" t="s">
        <v>90</v>
      </c>
    </row>
    <row r="90" spans="1:22" ht="15" customHeight="1" x14ac:dyDescent="0.2">
      <c r="A90" s="132" t="s">
        <v>147</v>
      </c>
      <c r="B90" s="112">
        <v>0.47719869706840401</v>
      </c>
      <c r="C90" s="112">
        <v>0.58794788273615595</v>
      </c>
      <c r="D90" s="112">
        <v>0.64495114006514698</v>
      </c>
      <c r="E90" s="113">
        <v>0.824104234527687</v>
      </c>
      <c r="F90" s="122" t="s">
        <v>94</v>
      </c>
    </row>
    <row r="91" spans="1:22" ht="15" customHeight="1" x14ac:dyDescent="0.2">
      <c r="A91" s="118" t="s">
        <v>148</v>
      </c>
      <c r="B91" s="112">
        <v>0.54855769230769202</v>
      </c>
      <c r="C91" s="112">
        <v>0.672115384615385</v>
      </c>
      <c r="D91" s="113">
        <v>0.76778846153846203</v>
      </c>
      <c r="E91" s="113">
        <v>0.87019230769230804</v>
      </c>
      <c r="F91" s="122" t="s">
        <v>94</v>
      </c>
    </row>
    <row r="92" spans="1:22" ht="15" customHeight="1" x14ac:dyDescent="0.2">
      <c r="A92" s="133" t="s">
        <v>149</v>
      </c>
      <c r="B92" s="112">
        <v>0.54951923076923104</v>
      </c>
      <c r="C92" s="112">
        <v>0.672115384615385</v>
      </c>
      <c r="D92" s="113">
        <v>0.76778846153846203</v>
      </c>
      <c r="E92" s="113">
        <v>0.87019230769230804</v>
      </c>
      <c r="F92" s="122" t="s">
        <v>94</v>
      </c>
    </row>
    <row r="93" spans="1:22" ht="15" customHeight="1" x14ac:dyDescent="0.2">
      <c r="A93" s="115" t="s">
        <v>150</v>
      </c>
      <c r="B93" s="113">
        <v>0.75206301575393897</v>
      </c>
      <c r="C93" s="113">
        <v>0.89647411852963199</v>
      </c>
      <c r="D93" s="116">
        <v>1.8454613653413401</v>
      </c>
      <c r="E93" s="116">
        <v>1.9272318079519899</v>
      </c>
      <c r="F93" s="80" t="s">
        <v>161</v>
      </c>
    </row>
    <row r="94" spans="1:22" ht="15" customHeight="1" x14ac:dyDescent="0.2">
      <c r="A94" s="134" t="s">
        <v>151</v>
      </c>
      <c r="B94" s="112">
        <v>0.35251798561151099</v>
      </c>
      <c r="C94" s="116">
        <v>1.29662423907028</v>
      </c>
      <c r="D94" s="116">
        <v>3.2811289429994499</v>
      </c>
      <c r="E94" s="116">
        <v>2.6884338682899802</v>
      </c>
      <c r="F94" s="80" t="s">
        <v>161</v>
      </c>
    </row>
    <row r="95" spans="1:22" ht="23.25" customHeight="1" x14ac:dyDescent="0.2">
      <c r="A95" s="120" t="s">
        <v>152</v>
      </c>
      <c r="B95" s="111">
        <v>0.184260515603799</v>
      </c>
      <c r="C95" s="112">
        <v>0.33758480325644502</v>
      </c>
      <c r="D95" s="112">
        <v>0.43663500678425998</v>
      </c>
      <c r="E95" s="112">
        <v>0.50176390773405699</v>
      </c>
      <c r="F95" s="97" t="s">
        <v>90</v>
      </c>
    </row>
    <row r="96" spans="1:22" ht="15" customHeight="1" x14ac:dyDescent="0.2">
      <c r="A96" s="135" t="s">
        <v>153</v>
      </c>
      <c r="B96" s="113">
        <v>0.75753086419753102</v>
      </c>
      <c r="C96" s="113">
        <v>0.95753086419753097</v>
      </c>
      <c r="D96" s="113">
        <v>0.93308641975308704</v>
      </c>
      <c r="E96" s="116">
        <v>1.1861728395061699</v>
      </c>
      <c r="F96" s="80" t="s">
        <v>161</v>
      </c>
    </row>
    <row r="97" spans="1:22" ht="15" customHeight="1" x14ac:dyDescent="0.2">
      <c r="A97" s="136" t="s">
        <v>154</v>
      </c>
      <c r="B97" s="112">
        <v>0.33403196227403698</v>
      </c>
      <c r="C97" s="112">
        <v>0.58745961051436602</v>
      </c>
      <c r="D97" s="113">
        <v>0.81442668762553505</v>
      </c>
      <c r="E97" s="116">
        <v>1.00794690420051</v>
      </c>
      <c r="F97" s="80" t="s">
        <v>161</v>
      </c>
    </row>
    <row r="100" spans="1:22" ht="26" customHeight="1" x14ac:dyDescent="0.2">
      <c r="A100" s="188" t="s">
        <v>162</v>
      </c>
      <c r="B100" s="184"/>
      <c r="C100" s="184"/>
      <c r="D100" s="184"/>
      <c r="E100" s="184"/>
      <c r="F100" s="184"/>
      <c r="G100" s="184"/>
      <c r="H100" s="184"/>
      <c r="I100" s="184"/>
      <c r="J100" s="184"/>
      <c r="K100" s="184"/>
      <c r="L100" s="184"/>
      <c r="M100" s="184"/>
      <c r="N100" s="184"/>
      <c r="O100" s="184"/>
      <c r="P100" s="184"/>
      <c r="Q100" s="184"/>
      <c r="R100" s="184"/>
      <c r="S100" s="184"/>
      <c r="T100" s="184"/>
      <c r="U100" s="184"/>
      <c r="V100" s="184"/>
    </row>
    <row r="101" spans="1:22" ht="26" customHeight="1" x14ac:dyDescent="0.2">
      <c r="A101" s="137" t="s">
        <v>163</v>
      </c>
      <c r="B101" s="193" t="s">
        <v>164</v>
      </c>
      <c r="C101" s="194"/>
      <c r="D101" s="194"/>
      <c r="E101" s="194"/>
      <c r="F101" s="194"/>
      <c r="G101" s="194"/>
      <c r="H101" s="194"/>
      <c r="I101" s="195"/>
      <c r="J101" s="193" t="s">
        <v>165</v>
      </c>
      <c r="K101" s="194"/>
      <c r="L101" s="194"/>
      <c r="M101" s="194"/>
      <c r="N101" s="194"/>
      <c r="O101" s="194"/>
      <c r="P101" s="194"/>
      <c r="Q101" s="194"/>
      <c r="R101" s="194"/>
      <c r="S101" s="195"/>
      <c r="T101" s="210" t="s">
        <v>166</v>
      </c>
      <c r="U101" s="194"/>
      <c r="V101" s="211"/>
    </row>
    <row r="102" spans="1:22" ht="36" customHeight="1" x14ac:dyDescent="0.2">
      <c r="A102" s="138" t="s">
        <v>167</v>
      </c>
      <c r="B102" s="202" t="s">
        <v>168</v>
      </c>
      <c r="C102" s="186"/>
      <c r="D102" s="186"/>
      <c r="E102" s="186"/>
      <c r="F102" s="186"/>
      <c r="G102" s="186"/>
      <c r="H102" s="186"/>
      <c r="I102" s="192"/>
      <c r="J102" s="197" t="s">
        <v>169</v>
      </c>
      <c r="K102" s="186"/>
      <c r="L102" s="186"/>
      <c r="M102" s="186"/>
      <c r="N102" s="186"/>
      <c r="O102" s="186"/>
      <c r="P102" s="186"/>
      <c r="Q102" s="186"/>
      <c r="R102" s="186"/>
      <c r="S102" s="192"/>
      <c r="T102" s="196" t="s">
        <v>170</v>
      </c>
      <c r="U102" s="186"/>
      <c r="V102" s="187"/>
    </row>
    <row r="103" spans="1:22" ht="36" customHeight="1" x14ac:dyDescent="0.2">
      <c r="A103" s="138" t="s">
        <v>171</v>
      </c>
      <c r="B103" s="208" t="s">
        <v>172</v>
      </c>
      <c r="C103" s="186"/>
      <c r="D103" s="186"/>
      <c r="E103" s="186"/>
      <c r="F103" s="186"/>
      <c r="G103" s="186"/>
      <c r="H103" s="186"/>
      <c r="I103" s="192"/>
      <c r="J103" s="216" t="s">
        <v>173</v>
      </c>
      <c r="K103" s="186"/>
      <c r="L103" s="186"/>
      <c r="M103" s="186"/>
      <c r="N103" s="186"/>
      <c r="O103" s="186"/>
      <c r="P103" s="186"/>
      <c r="Q103" s="186"/>
      <c r="R103" s="186"/>
      <c r="S103" s="192"/>
      <c r="T103" s="206" t="s">
        <v>174</v>
      </c>
      <c r="U103" s="186"/>
      <c r="V103" s="187"/>
    </row>
    <row r="104" spans="1:22" ht="36" customHeight="1" x14ac:dyDescent="0.2">
      <c r="A104" s="138" t="s">
        <v>175</v>
      </c>
      <c r="B104" s="215" t="s">
        <v>176</v>
      </c>
      <c r="C104" s="186"/>
      <c r="D104" s="186"/>
      <c r="E104" s="186"/>
      <c r="F104" s="186"/>
      <c r="G104" s="186"/>
      <c r="H104" s="186"/>
      <c r="I104" s="192"/>
      <c r="J104" s="200" t="s">
        <v>177</v>
      </c>
      <c r="K104" s="186"/>
      <c r="L104" s="186"/>
      <c r="M104" s="186"/>
      <c r="N104" s="186"/>
      <c r="O104" s="186"/>
      <c r="P104" s="186"/>
      <c r="Q104" s="186"/>
      <c r="R104" s="186"/>
      <c r="S104" s="192"/>
      <c r="T104" s="204" t="s">
        <v>178</v>
      </c>
      <c r="U104" s="186"/>
      <c r="V104" s="187"/>
    </row>
    <row r="105" spans="1:22" ht="36" customHeight="1" x14ac:dyDescent="0.2">
      <c r="A105" s="138" t="s">
        <v>179</v>
      </c>
      <c r="B105" s="205" t="s">
        <v>180</v>
      </c>
      <c r="C105" s="186"/>
      <c r="D105" s="186"/>
      <c r="E105" s="186"/>
      <c r="F105" s="186"/>
      <c r="G105" s="186"/>
      <c r="H105" s="186"/>
      <c r="I105" s="192"/>
      <c r="J105" s="201" t="s">
        <v>181</v>
      </c>
      <c r="K105" s="186"/>
      <c r="L105" s="186"/>
      <c r="M105" s="186"/>
      <c r="N105" s="186"/>
      <c r="O105" s="186"/>
      <c r="P105" s="186"/>
      <c r="Q105" s="186"/>
      <c r="R105" s="186"/>
      <c r="S105" s="192"/>
      <c r="T105" s="196" t="s">
        <v>182</v>
      </c>
      <c r="U105" s="186"/>
      <c r="V105" s="187"/>
    </row>
    <row r="106" spans="1:22" ht="36" customHeight="1" x14ac:dyDescent="0.2">
      <c r="A106" s="138" t="s">
        <v>183</v>
      </c>
      <c r="B106" s="207" t="s">
        <v>184</v>
      </c>
      <c r="C106" s="186"/>
      <c r="D106" s="186"/>
      <c r="E106" s="186"/>
      <c r="F106" s="186"/>
      <c r="G106" s="186"/>
      <c r="H106" s="186"/>
      <c r="I106" s="192"/>
      <c r="J106" s="203" t="s">
        <v>185</v>
      </c>
      <c r="K106" s="186"/>
      <c r="L106" s="186"/>
      <c r="M106" s="186"/>
      <c r="N106" s="186"/>
      <c r="O106" s="186"/>
      <c r="P106" s="186"/>
      <c r="Q106" s="186"/>
      <c r="R106" s="186"/>
      <c r="S106" s="192"/>
      <c r="T106" s="206" t="s">
        <v>186</v>
      </c>
      <c r="U106" s="186"/>
      <c r="V106" s="187"/>
    </row>
    <row r="107" spans="1:22" ht="36" customHeight="1" x14ac:dyDescent="0.2">
      <c r="A107" s="138" t="s">
        <v>187</v>
      </c>
      <c r="B107" s="191" t="s">
        <v>188</v>
      </c>
      <c r="C107" s="186"/>
      <c r="D107" s="186"/>
      <c r="E107" s="186"/>
      <c r="F107" s="186"/>
      <c r="G107" s="186"/>
      <c r="H107" s="186"/>
      <c r="I107" s="192"/>
      <c r="J107" s="213" t="s">
        <v>189</v>
      </c>
      <c r="K107" s="186"/>
      <c r="L107" s="186"/>
      <c r="M107" s="186"/>
      <c r="N107" s="186"/>
      <c r="O107" s="186"/>
      <c r="P107" s="186"/>
      <c r="Q107" s="186"/>
      <c r="R107" s="186"/>
      <c r="S107" s="192"/>
      <c r="T107" s="209" t="s">
        <v>190</v>
      </c>
      <c r="U107" s="186"/>
      <c r="V107" s="187"/>
    </row>
    <row r="108" spans="1:22" ht="36" customHeight="1" x14ac:dyDescent="0.2">
      <c r="A108" s="138" t="s">
        <v>191</v>
      </c>
      <c r="B108" s="212" t="s">
        <v>192</v>
      </c>
      <c r="C108" s="186"/>
      <c r="D108" s="186"/>
      <c r="E108" s="186"/>
      <c r="F108" s="186"/>
      <c r="G108" s="186"/>
      <c r="H108" s="186"/>
      <c r="I108" s="192"/>
      <c r="J108" s="214" t="s">
        <v>193</v>
      </c>
      <c r="K108" s="186"/>
      <c r="L108" s="186"/>
      <c r="M108" s="186"/>
      <c r="N108" s="186"/>
      <c r="O108" s="186"/>
      <c r="P108" s="186"/>
      <c r="Q108" s="186"/>
      <c r="R108" s="186"/>
      <c r="S108" s="192"/>
      <c r="T108" s="185" t="s">
        <v>194</v>
      </c>
      <c r="U108" s="186"/>
      <c r="V108" s="187"/>
    </row>
    <row r="109" spans="1:22" ht="36" customHeight="1" x14ac:dyDescent="0.2">
      <c r="A109" s="138" t="s">
        <v>195</v>
      </c>
      <c r="B109" s="198" t="s">
        <v>196</v>
      </c>
      <c r="C109" s="189"/>
      <c r="D109" s="189"/>
      <c r="E109" s="189"/>
      <c r="F109" s="189"/>
      <c r="G109" s="189"/>
      <c r="H109" s="189"/>
      <c r="I109" s="199"/>
      <c r="J109" s="200" t="s">
        <v>197</v>
      </c>
      <c r="K109" s="189"/>
      <c r="L109" s="189"/>
      <c r="M109" s="189"/>
      <c r="N109" s="189"/>
      <c r="O109" s="189"/>
      <c r="P109" s="189"/>
      <c r="Q109" s="189"/>
      <c r="R109" s="189"/>
      <c r="S109" s="199"/>
      <c r="T109" s="185" t="s">
        <v>198</v>
      </c>
      <c r="U109" s="189"/>
      <c r="V109" s="190"/>
    </row>
    <row r="112" spans="1:22" ht="26" customHeight="1" x14ac:dyDescent="0.2">
      <c r="A112" s="188" t="s">
        <v>199</v>
      </c>
      <c r="B112" s="184"/>
      <c r="C112" s="184"/>
      <c r="D112" s="184"/>
      <c r="E112" s="184"/>
      <c r="F112" s="184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4"/>
      <c r="V112" s="184"/>
    </row>
    <row r="113" spans="1:6" ht="15" customHeight="1" x14ac:dyDescent="0.2">
      <c r="A113" s="139" t="s">
        <v>707</v>
      </c>
      <c r="B113" s="24">
        <v>0</v>
      </c>
      <c r="C113" s="24">
        <v>10</v>
      </c>
      <c r="D113" s="24">
        <v>25</v>
      </c>
      <c r="E113" s="24">
        <v>50</v>
      </c>
      <c r="F113" s="24">
        <v>100</v>
      </c>
    </row>
    <row r="114" spans="1:6" ht="15" customHeight="1" x14ac:dyDescent="0.2">
      <c r="A114" s="139" t="s">
        <v>145</v>
      </c>
      <c r="B114" s="24">
        <v>6.38</v>
      </c>
      <c r="C114" s="24">
        <v>6.3</v>
      </c>
      <c r="D114" s="24">
        <v>6.31</v>
      </c>
      <c r="E114" s="24">
        <v>6.63</v>
      </c>
      <c r="F114" s="24">
        <v>6.7</v>
      </c>
    </row>
    <row r="115" spans="1:6" ht="15" customHeight="1" x14ac:dyDescent="0.2">
      <c r="A115" s="139" t="s">
        <v>146</v>
      </c>
      <c r="B115" s="24">
        <v>2.71</v>
      </c>
      <c r="C115" s="24">
        <v>3.72</v>
      </c>
      <c r="D115" s="24">
        <v>3.84</v>
      </c>
      <c r="E115" s="24">
        <v>4.0999999999999996</v>
      </c>
      <c r="F115" s="24">
        <v>4.22</v>
      </c>
    </row>
    <row r="116" spans="1:6" ht="15" customHeight="1" x14ac:dyDescent="0.2">
      <c r="A116" s="139" t="s">
        <v>147</v>
      </c>
      <c r="B116" s="24">
        <v>6.14</v>
      </c>
      <c r="C116" s="24">
        <v>9.07</v>
      </c>
      <c r="D116" s="24">
        <v>9.75</v>
      </c>
      <c r="E116" s="24">
        <v>10.1</v>
      </c>
      <c r="F116" s="24">
        <v>11.2</v>
      </c>
    </row>
    <row r="117" spans="1:6" ht="15" customHeight="1" x14ac:dyDescent="0.2">
      <c r="A117" s="139" t="s">
        <v>148</v>
      </c>
      <c r="B117" s="24">
        <v>20.8</v>
      </c>
      <c r="C117" s="24">
        <v>32.21</v>
      </c>
      <c r="D117" s="24">
        <v>34.78</v>
      </c>
      <c r="E117" s="24">
        <v>36.770000000000003</v>
      </c>
      <c r="F117" s="24">
        <v>38.9</v>
      </c>
    </row>
    <row r="118" spans="1:6" ht="15" customHeight="1" x14ac:dyDescent="0.2">
      <c r="A118" s="139" t="s">
        <v>149</v>
      </c>
      <c r="B118" s="24">
        <v>20.8</v>
      </c>
      <c r="C118" s="24">
        <v>32.229999999999997</v>
      </c>
      <c r="D118" s="24">
        <v>34.78</v>
      </c>
      <c r="E118" s="24">
        <v>36.770000000000003</v>
      </c>
      <c r="F118" s="24">
        <v>38.9</v>
      </c>
    </row>
    <row r="119" spans="1:6" ht="15" customHeight="1" x14ac:dyDescent="0.2">
      <c r="A119" s="139" t="s">
        <v>150</v>
      </c>
      <c r="B119" s="24">
        <v>26.66</v>
      </c>
      <c r="C119" s="24">
        <v>46.71</v>
      </c>
      <c r="D119" s="24">
        <v>50.56</v>
      </c>
      <c r="E119" s="24">
        <v>75.86</v>
      </c>
      <c r="F119" s="24">
        <v>78.040000000000006</v>
      </c>
    </row>
    <row r="120" spans="1:6" ht="15" customHeight="1" x14ac:dyDescent="0.2">
      <c r="A120" s="139" t="s">
        <v>151</v>
      </c>
      <c r="B120" s="24">
        <v>18.07</v>
      </c>
      <c r="C120" s="24">
        <v>24.44</v>
      </c>
      <c r="D120" s="24">
        <v>41.5</v>
      </c>
      <c r="E120" s="24">
        <v>77.36</v>
      </c>
      <c r="F120" s="24">
        <v>66.650000000000006</v>
      </c>
    </row>
    <row r="121" spans="1:6" ht="15" customHeight="1" x14ac:dyDescent="0.2">
      <c r="A121" s="139" t="s">
        <v>152</v>
      </c>
      <c r="B121" s="24">
        <v>73.7</v>
      </c>
      <c r="C121" s="24">
        <v>87.28</v>
      </c>
      <c r="D121" s="24">
        <v>98.58</v>
      </c>
      <c r="E121" s="24">
        <v>105.88</v>
      </c>
      <c r="F121" s="24">
        <v>110.68</v>
      </c>
    </row>
    <row r="122" spans="1:6" ht="15" customHeight="1" x14ac:dyDescent="0.2">
      <c r="A122" s="139" t="s">
        <v>153</v>
      </c>
      <c r="B122" s="24">
        <v>40.5</v>
      </c>
      <c r="C122" s="24">
        <v>71.180000000000007</v>
      </c>
      <c r="D122" s="24">
        <v>79.28</v>
      </c>
      <c r="E122" s="24">
        <v>78.290000000000006</v>
      </c>
      <c r="F122" s="24">
        <v>88.54</v>
      </c>
    </row>
    <row r="123" spans="1:6" ht="15" customHeight="1" x14ac:dyDescent="0.2">
      <c r="A123" s="139" t="s">
        <v>154</v>
      </c>
      <c r="B123" s="24">
        <v>114.51</v>
      </c>
      <c r="C123" s="24">
        <v>152.76</v>
      </c>
      <c r="D123" s="24">
        <v>181.78</v>
      </c>
      <c r="E123" s="24">
        <v>207.77</v>
      </c>
      <c r="F123" s="24">
        <v>229.93</v>
      </c>
    </row>
  </sheetData>
  <mergeCells count="37">
    <mergeCell ref="A1:V1"/>
    <mergeCell ref="B103:I103"/>
    <mergeCell ref="T107:V107"/>
    <mergeCell ref="T101:V101"/>
    <mergeCell ref="B108:I108"/>
    <mergeCell ref="J107:S107"/>
    <mergeCell ref="J108:S108"/>
    <mergeCell ref="T103:V103"/>
    <mergeCell ref="B104:I104"/>
    <mergeCell ref="J101:S101"/>
    <mergeCell ref="J104:S104"/>
    <mergeCell ref="A55:V55"/>
    <mergeCell ref="J103:S103"/>
    <mergeCell ref="A100:V100"/>
    <mergeCell ref="A2:V2"/>
    <mergeCell ref="A86:V86"/>
    <mergeCell ref="A112:V112"/>
    <mergeCell ref="T109:V109"/>
    <mergeCell ref="B107:I107"/>
    <mergeCell ref="B101:I101"/>
    <mergeCell ref="T105:V105"/>
    <mergeCell ref="J102:S102"/>
    <mergeCell ref="T102:V102"/>
    <mergeCell ref="B109:I109"/>
    <mergeCell ref="J109:S109"/>
    <mergeCell ref="J105:S105"/>
    <mergeCell ref="B102:I102"/>
    <mergeCell ref="J106:S106"/>
    <mergeCell ref="T104:V104"/>
    <mergeCell ref="B105:I105"/>
    <mergeCell ref="T106:V106"/>
    <mergeCell ref="B106:I106"/>
    <mergeCell ref="T108:V108"/>
    <mergeCell ref="A29:V29"/>
    <mergeCell ref="A4:V4"/>
    <mergeCell ref="A38:V38"/>
    <mergeCell ref="A72:V7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A1712"/>
  </sheetPr>
  <dimension ref="A1:AN66"/>
  <sheetViews>
    <sheetView topLeftCell="A9" zoomScale="63" zoomScaleNormal="100" workbookViewId="0">
      <pane ySplit="1" topLeftCell="A10" activePane="bottomLeft" state="frozen"/>
      <selection pane="bottomLeft" activeCell="N29" sqref="N29"/>
    </sheetView>
  </sheetViews>
  <sheetFormatPr baseColWidth="10" defaultColWidth="8.6640625" defaultRowHeight="15" x14ac:dyDescent="0.2"/>
  <cols>
    <col min="1" max="1" width="10" customWidth="1"/>
    <col min="2" max="40" width="11" customWidth="1"/>
  </cols>
  <sheetData>
    <row r="1" spans="1:40" ht="34" customHeight="1" x14ac:dyDescent="0.2">
      <c r="A1" s="183" t="s">
        <v>680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4"/>
      <c r="AH1" s="184"/>
      <c r="AI1" s="184"/>
      <c r="AJ1" s="184"/>
      <c r="AK1" s="184"/>
      <c r="AL1" s="184"/>
      <c r="AM1" s="184"/>
      <c r="AN1" s="184"/>
    </row>
    <row r="3" spans="1:40" ht="22" customHeight="1" x14ac:dyDescent="0.2">
      <c r="A3" s="218" t="s">
        <v>681</v>
      </c>
      <c r="B3" s="184"/>
      <c r="C3" s="184"/>
      <c r="D3" s="184"/>
      <c r="E3" s="184"/>
      <c r="F3" s="184"/>
    </row>
    <row r="4" spans="1:40" ht="28" customHeight="1" x14ac:dyDescent="0.2">
      <c r="A4" s="78" t="s">
        <v>682</v>
      </c>
      <c r="B4" s="78" t="s">
        <v>40</v>
      </c>
      <c r="C4" s="78" t="s">
        <v>42</v>
      </c>
      <c r="D4" s="78" t="s">
        <v>43</v>
      </c>
      <c r="E4" s="78" t="s">
        <v>44</v>
      </c>
      <c r="F4" s="78" t="s">
        <v>52</v>
      </c>
    </row>
    <row r="5" spans="1:40" ht="15" customHeight="1" x14ac:dyDescent="0.2">
      <c r="A5" s="24">
        <v>0</v>
      </c>
      <c r="B5" s="24">
        <v>60.09</v>
      </c>
      <c r="C5" s="24">
        <v>20.8</v>
      </c>
      <c r="D5" s="24">
        <v>59.8</v>
      </c>
      <c r="E5" s="24">
        <v>20.8</v>
      </c>
      <c r="F5" s="24">
        <v>91.46</v>
      </c>
    </row>
    <row r="6" spans="1:40" ht="15" customHeight="1" x14ac:dyDescent="0.2">
      <c r="A6" s="24">
        <v>10</v>
      </c>
      <c r="B6" s="24">
        <v>92.45</v>
      </c>
      <c r="C6" s="24">
        <v>32.21</v>
      </c>
      <c r="D6" s="24">
        <v>92.45</v>
      </c>
      <c r="E6" s="24">
        <v>32.229999999999997</v>
      </c>
    </row>
    <row r="7" spans="1:40" ht="15" customHeight="1" x14ac:dyDescent="0.2">
      <c r="A7" s="24">
        <v>25</v>
      </c>
      <c r="B7" s="24">
        <v>119.39</v>
      </c>
      <c r="C7" s="24">
        <v>34.78</v>
      </c>
      <c r="D7" s="24">
        <v>119.39</v>
      </c>
      <c r="E7" s="24">
        <v>34.78</v>
      </c>
    </row>
    <row r="8" spans="1:40" ht="15" customHeight="1" x14ac:dyDescent="0.2">
      <c r="A8" s="24">
        <v>50</v>
      </c>
      <c r="B8" s="24">
        <v>140.47999999999999</v>
      </c>
      <c r="C8" s="24">
        <v>36.770000000000003</v>
      </c>
      <c r="D8" s="24">
        <v>140.57</v>
      </c>
      <c r="E8" s="24">
        <v>36.770000000000003</v>
      </c>
    </row>
    <row r="9" spans="1:40" ht="15" customHeight="1" x14ac:dyDescent="0.2">
      <c r="A9" s="24">
        <v>100</v>
      </c>
      <c r="B9" s="24">
        <v>183.64</v>
      </c>
      <c r="C9" s="24">
        <v>38.9</v>
      </c>
      <c r="D9" s="24">
        <v>183.64</v>
      </c>
      <c r="E9" s="24">
        <v>38.9</v>
      </c>
    </row>
    <row r="12" spans="1:40" ht="26" customHeight="1" x14ac:dyDescent="0.2">
      <c r="A12" s="188" t="s">
        <v>683</v>
      </c>
      <c r="B12" s="184"/>
      <c r="C12" s="184"/>
      <c r="D12" s="184"/>
      <c r="E12" s="184"/>
      <c r="F12" s="184"/>
    </row>
    <row r="13" spans="1:40" ht="28" customHeight="1" x14ac:dyDescent="0.2">
      <c r="A13" s="78" t="s">
        <v>682</v>
      </c>
      <c r="B13" s="78" t="s">
        <v>684</v>
      </c>
      <c r="C13" s="78" t="s">
        <v>685</v>
      </c>
      <c r="D13" s="78" t="s">
        <v>686</v>
      </c>
      <c r="E13" s="78" t="s">
        <v>687</v>
      </c>
      <c r="F13" s="78" t="s">
        <v>688</v>
      </c>
    </row>
    <row r="14" spans="1:40" ht="15" customHeight="1" x14ac:dyDescent="0.2">
      <c r="A14" s="24">
        <v>0</v>
      </c>
      <c r="B14" s="24">
        <v>49.17</v>
      </c>
      <c r="C14" s="24">
        <v>106.19</v>
      </c>
      <c r="D14" s="24">
        <v>26.66</v>
      </c>
      <c r="E14" s="24">
        <v>221.2</v>
      </c>
      <c r="F14" s="24">
        <v>18.07</v>
      </c>
    </row>
    <row r="15" spans="1:40" ht="15" customHeight="1" x14ac:dyDescent="0.2">
      <c r="A15" s="24">
        <v>10</v>
      </c>
      <c r="B15" s="24">
        <v>85.07</v>
      </c>
      <c r="C15" s="24">
        <v>298.10000000000002</v>
      </c>
      <c r="D15" s="24">
        <v>46.71</v>
      </c>
      <c r="F15" s="24">
        <v>24.44</v>
      </c>
    </row>
    <row r="16" spans="1:40" ht="15" customHeight="1" x14ac:dyDescent="0.2">
      <c r="A16" s="24">
        <v>25</v>
      </c>
      <c r="B16" s="24">
        <v>114.66</v>
      </c>
      <c r="C16" s="24">
        <v>488.17</v>
      </c>
      <c r="D16" s="24">
        <v>50.56</v>
      </c>
      <c r="F16" s="24">
        <v>41.5</v>
      </c>
    </row>
    <row r="17" spans="1:7" ht="15" customHeight="1" x14ac:dyDescent="0.2">
      <c r="A17" s="24">
        <v>50</v>
      </c>
      <c r="D17" s="24">
        <v>75.86</v>
      </c>
      <c r="F17" s="24">
        <v>77.36</v>
      </c>
    </row>
    <row r="18" spans="1:7" ht="15" customHeight="1" x14ac:dyDescent="0.2">
      <c r="A18" s="24">
        <v>100</v>
      </c>
      <c r="D18" s="24">
        <v>78.040000000000006</v>
      </c>
      <c r="F18" s="24">
        <v>66.650000000000006</v>
      </c>
    </row>
    <row r="21" spans="1:7" ht="26" customHeight="1" x14ac:dyDescent="0.2">
      <c r="A21" s="188" t="s">
        <v>689</v>
      </c>
      <c r="B21" s="184"/>
      <c r="C21" s="184"/>
      <c r="D21" s="184"/>
      <c r="E21" s="184"/>
    </row>
    <row r="22" spans="1:7" ht="28" customHeight="1" x14ac:dyDescent="0.2">
      <c r="A22" s="78" t="s">
        <v>682</v>
      </c>
      <c r="B22" s="78" t="s">
        <v>23</v>
      </c>
      <c r="C22" s="78" t="s">
        <v>28</v>
      </c>
      <c r="D22" s="78" t="s">
        <v>29</v>
      </c>
      <c r="E22" s="78" t="s">
        <v>30</v>
      </c>
    </row>
    <row r="23" spans="1:7" ht="15" customHeight="1" x14ac:dyDescent="0.2">
      <c r="A23" s="24">
        <v>0</v>
      </c>
      <c r="B23" s="24">
        <v>27.05</v>
      </c>
      <c r="C23" s="24">
        <v>6.38</v>
      </c>
      <c r="D23" s="24">
        <v>2.71</v>
      </c>
      <c r="E23" s="24">
        <v>6.14</v>
      </c>
    </row>
    <row r="24" spans="1:7" ht="15" customHeight="1" x14ac:dyDescent="0.2">
      <c r="A24" s="24">
        <v>10</v>
      </c>
      <c r="B24" s="24">
        <v>17.39</v>
      </c>
      <c r="C24" s="24">
        <v>6.3</v>
      </c>
      <c r="D24" s="24">
        <v>3.72</v>
      </c>
      <c r="E24" s="24">
        <v>9.07</v>
      </c>
    </row>
    <row r="25" spans="1:7" ht="15" customHeight="1" x14ac:dyDescent="0.2">
      <c r="A25" s="24">
        <v>25</v>
      </c>
      <c r="B25" s="24">
        <v>20.010000000000002</v>
      </c>
      <c r="C25" s="24">
        <v>6.31</v>
      </c>
      <c r="D25" s="24">
        <v>3.84</v>
      </c>
      <c r="E25" s="24">
        <v>9.75</v>
      </c>
    </row>
    <row r="26" spans="1:7" ht="15" customHeight="1" x14ac:dyDescent="0.2">
      <c r="A26" s="24">
        <v>50</v>
      </c>
      <c r="B26" s="24">
        <v>23.42</v>
      </c>
      <c r="C26" s="24">
        <v>6.63</v>
      </c>
      <c r="D26" s="24">
        <v>4.0999999999999996</v>
      </c>
      <c r="E26" s="24">
        <v>10.1</v>
      </c>
    </row>
    <row r="27" spans="1:7" ht="15" customHeight="1" x14ac:dyDescent="0.2">
      <c r="A27" s="24">
        <v>100</v>
      </c>
      <c r="B27" s="24">
        <v>28.43</v>
      </c>
      <c r="C27" s="24">
        <v>6.7</v>
      </c>
      <c r="D27" s="24">
        <v>4.22</v>
      </c>
      <c r="E27" s="24">
        <v>11.2</v>
      </c>
    </row>
    <row r="30" spans="1:7" ht="26" customHeight="1" x14ac:dyDescent="0.2">
      <c r="A30" s="188" t="s">
        <v>690</v>
      </c>
      <c r="B30" s="184"/>
      <c r="C30" s="184"/>
      <c r="D30" s="184"/>
      <c r="E30" s="184"/>
      <c r="F30" s="184"/>
      <c r="G30" s="184"/>
    </row>
    <row r="31" spans="1:7" ht="28" customHeight="1" x14ac:dyDescent="0.2">
      <c r="A31" s="78" t="s">
        <v>682</v>
      </c>
      <c r="B31" s="78" t="s">
        <v>45</v>
      </c>
      <c r="C31" s="78" t="s">
        <v>47</v>
      </c>
      <c r="D31" s="78" t="s">
        <v>48</v>
      </c>
      <c r="E31" s="78" t="s">
        <v>691</v>
      </c>
      <c r="F31" s="78" t="s">
        <v>692</v>
      </c>
      <c r="G31" s="78" t="s">
        <v>53</v>
      </c>
    </row>
    <row r="32" spans="1:7" ht="15" customHeight="1" x14ac:dyDescent="0.2">
      <c r="A32" s="24">
        <v>0</v>
      </c>
      <c r="B32" s="24">
        <v>73.7</v>
      </c>
      <c r="C32" s="24">
        <v>40.5</v>
      </c>
      <c r="D32" s="24">
        <v>31.08</v>
      </c>
      <c r="E32" s="24">
        <v>15.17</v>
      </c>
      <c r="F32" s="24">
        <v>17.37</v>
      </c>
      <c r="G32" s="24">
        <v>114.51</v>
      </c>
    </row>
    <row r="33" spans="1:9" ht="15" customHeight="1" x14ac:dyDescent="0.2">
      <c r="A33" s="24">
        <v>10</v>
      </c>
      <c r="B33" s="24">
        <v>87.28</v>
      </c>
      <c r="C33" s="24">
        <v>71.180000000000007</v>
      </c>
      <c r="D33" s="24">
        <v>44.78</v>
      </c>
      <c r="E33" s="24">
        <v>338.61</v>
      </c>
      <c r="G33" s="24">
        <v>152.76</v>
      </c>
    </row>
    <row r="34" spans="1:9" ht="15" customHeight="1" x14ac:dyDescent="0.2">
      <c r="A34" s="24">
        <v>25</v>
      </c>
      <c r="B34" s="24">
        <v>98.58</v>
      </c>
      <c r="C34" s="24">
        <v>79.28</v>
      </c>
      <c r="D34" s="24">
        <v>48.69</v>
      </c>
      <c r="E34" s="24">
        <v>357</v>
      </c>
      <c r="G34" s="24">
        <v>181.78</v>
      </c>
    </row>
    <row r="35" spans="1:9" ht="15" customHeight="1" x14ac:dyDescent="0.2">
      <c r="A35" s="24">
        <v>50</v>
      </c>
      <c r="B35" s="24">
        <v>105.88</v>
      </c>
      <c r="C35" s="24">
        <v>78.290000000000006</v>
      </c>
      <c r="D35" s="24">
        <v>54.31</v>
      </c>
      <c r="G35" s="24">
        <v>207.77</v>
      </c>
    </row>
    <row r="36" spans="1:9" ht="15" customHeight="1" x14ac:dyDescent="0.2">
      <c r="A36" s="24">
        <v>100</v>
      </c>
      <c r="B36" s="24">
        <v>110.68</v>
      </c>
      <c r="C36" s="24">
        <v>88.54</v>
      </c>
      <c r="D36" s="24">
        <v>70.8</v>
      </c>
      <c r="G36" s="24">
        <v>229.93</v>
      </c>
    </row>
    <row r="40" spans="1:9" ht="26" customHeight="1" x14ac:dyDescent="0.2">
      <c r="A40" s="188" t="s">
        <v>693</v>
      </c>
      <c r="B40" s="184"/>
      <c r="C40" s="184"/>
      <c r="D40" s="184"/>
      <c r="E40" s="184"/>
      <c r="F40" s="184"/>
      <c r="G40" s="184"/>
      <c r="H40" s="184"/>
      <c r="I40" s="184"/>
    </row>
    <row r="41" spans="1:9" ht="28" customHeight="1" x14ac:dyDescent="0.2">
      <c r="A41" s="78" t="s">
        <v>682</v>
      </c>
      <c r="B41" s="78" t="s">
        <v>28</v>
      </c>
      <c r="C41" s="78" t="s">
        <v>29</v>
      </c>
      <c r="D41" s="78" t="s">
        <v>45</v>
      </c>
      <c r="E41" s="78" t="s">
        <v>48</v>
      </c>
      <c r="F41" s="78" t="s">
        <v>42</v>
      </c>
      <c r="G41" s="78" t="s">
        <v>44</v>
      </c>
      <c r="H41" s="78" t="s">
        <v>36</v>
      </c>
      <c r="I41" s="78" t="s">
        <v>39</v>
      </c>
    </row>
    <row r="42" spans="1:9" ht="15" customHeight="1" x14ac:dyDescent="0.2">
      <c r="A42" s="24">
        <v>0</v>
      </c>
      <c r="B42" s="24">
        <v>6.38</v>
      </c>
      <c r="C42" s="24">
        <v>2.71</v>
      </c>
      <c r="D42" s="24">
        <v>73.7</v>
      </c>
      <c r="E42" s="24">
        <v>31.08</v>
      </c>
      <c r="F42" s="24">
        <v>20.8</v>
      </c>
      <c r="G42" s="24">
        <v>20.8</v>
      </c>
      <c r="H42" s="24">
        <v>26.66</v>
      </c>
      <c r="I42" s="24">
        <v>18.07</v>
      </c>
    </row>
    <row r="43" spans="1:9" ht="15" customHeight="1" x14ac:dyDescent="0.2">
      <c r="A43" s="24">
        <v>10</v>
      </c>
      <c r="B43" s="24">
        <v>6.3</v>
      </c>
      <c r="C43" s="24">
        <v>3.72</v>
      </c>
      <c r="D43" s="24">
        <v>87.28</v>
      </c>
      <c r="E43" s="24">
        <v>44.78</v>
      </c>
      <c r="F43" s="24">
        <v>32.21</v>
      </c>
      <c r="G43" s="24">
        <v>32.229999999999997</v>
      </c>
      <c r="H43" s="24">
        <v>46.71</v>
      </c>
      <c r="I43" s="24">
        <v>24.44</v>
      </c>
    </row>
    <row r="44" spans="1:9" ht="15" customHeight="1" x14ac:dyDescent="0.2">
      <c r="A44" s="24">
        <v>25</v>
      </c>
      <c r="B44" s="24">
        <v>6.31</v>
      </c>
      <c r="C44" s="24">
        <v>3.84</v>
      </c>
      <c r="D44" s="24">
        <v>98.58</v>
      </c>
      <c r="E44" s="24">
        <v>48.69</v>
      </c>
      <c r="F44" s="24">
        <v>34.78</v>
      </c>
      <c r="G44" s="24">
        <v>34.78</v>
      </c>
      <c r="H44" s="24">
        <v>50.56</v>
      </c>
      <c r="I44" s="24">
        <v>41.5</v>
      </c>
    </row>
    <row r="45" spans="1:9" ht="15" customHeight="1" x14ac:dyDescent="0.2">
      <c r="A45" s="24">
        <v>50</v>
      </c>
      <c r="B45" s="24">
        <v>6.63</v>
      </c>
      <c r="C45" s="24">
        <v>4.0999999999999996</v>
      </c>
      <c r="D45" s="24">
        <v>105.88</v>
      </c>
      <c r="E45" s="24">
        <v>54.31</v>
      </c>
      <c r="F45" s="24">
        <v>36.770000000000003</v>
      </c>
      <c r="G45" s="24">
        <v>36.770000000000003</v>
      </c>
      <c r="H45" s="24">
        <v>75.86</v>
      </c>
      <c r="I45" s="24">
        <v>77.36</v>
      </c>
    </row>
    <row r="46" spans="1:9" ht="15" customHeight="1" x14ac:dyDescent="0.2">
      <c r="A46" s="24">
        <v>100</v>
      </c>
      <c r="B46" s="24">
        <v>6.7</v>
      </c>
      <c r="C46" s="24">
        <v>4.22</v>
      </c>
      <c r="D46" s="24">
        <v>110.68</v>
      </c>
      <c r="E46" s="24">
        <v>70.8</v>
      </c>
      <c r="F46" s="24">
        <v>38.9</v>
      </c>
      <c r="G46" s="24">
        <v>38.9</v>
      </c>
      <c r="H46" s="24">
        <v>78.040000000000006</v>
      </c>
      <c r="I46" s="24">
        <v>66.650000000000006</v>
      </c>
    </row>
    <row r="50" spans="1:15" ht="22" customHeight="1" x14ac:dyDescent="0.2">
      <c r="A50" s="218" t="s">
        <v>694</v>
      </c>
      <c r="B50" s="184"/>
      <c r="C50" s="184"/>
      <c r="D50" s="184"/>
      <c r="E50" s="184"/>
      <c r="F50" s="184"/>
      <c r="G50" s="184"/>
      <c r="H50" s="184"/>
      <c r="I50" s="184"/>
      <c r="J50" s="184"/>
      <c r="K50" s="184"/>
      <c r="L50" s="184"/>
      <c r="M50" s="184"/>
      <c r="N50" s="184"/>
      <c r="O50" s="184"/>
    </row>
    <row r="51" spans="1:15" ht="28" customHeight="1" x14ac:dyDescent="0.2">
      <c r="A51" s="78" t="s">
        <v>682</v>
      </c>
      <c r="B51" s="78" t="s">
        <v>23</v>
      </c>
      <c r="C51" s="78" t="s">
        <v>28</v>
      </c>
      <c r="D51" s="78" t="s">
        <v>29</v>
      </c>
      <c r="E51" s="78" t="s">
        <v>30</v>
      </c>
      <c r="F51" s="78" t="s">
        <v>36</v>
      </c>
      <c r="G51" s="78" t="s">
        <v>39</v>
      </c>
      <c r="H51" s="78" t="s">
        <v>40</v>
      </c>
      <c r="I51" s="78" t="s">
        <v>42</v>
      </c>
      <c r="J51" s="78" t="s">
        <v>43</v>
      </c>
      <c r="K51" s="78" t="s">
        <v>44</v>
      </c>
      <c r="L51" s="78" t="s">
        <v>45</v>
      </c>
      <c r="M51" s="78" t="s">
        <v>47</v>
      </c>
      <c r="N51" s="78" t="s">
        <v>48</v>
      </c>
      <c r="O51" s="78" t="s">
        <v>53</v>
      </c>
    </row>
    <row r="52" spans="1:15" ht="15" customHeight="1" x14ac:dyDescent="0.2">
      <c r="A52" s="24">
        <v>0</v>
      </c>
      <c r="B52" s="24">
        <v>27.05</v>
      </c>
      <c r="C52" s="24">
        <v>6.38</v>
      </c>
      <c r="D52" s="24">
        <v>2.71</v>
      </c>
      <c r="E52" s="24">
        <v>6.14</v>
      </c>
      <c r="F52" s="24">
        <v>26.66</v>
      </c>
      <c r="G52" s="24">
        <v>18.07</v>
      </c>
      <c r="H52" s="24">
        <v>60.09</v>
      </c>
      <c r="I52" s="24">
        <v>20.8</v>
      </c>
      <c r="J52" s="24">
        <v>59.8</v>
      </c>
      <c r="K52" s="24">
        <v>20.8</v>
      </c>
      <c r="L52" s="24">
        <v>73.7</v>
      </c>
      <c r="M52" s="24">
        <v>40.5</v>
      </c>
      <c r="N52" s="24">
        <v>31.08</v>
      </c>
      <c r="O52" s="24">
        <v>114.51</v>
      </c>
    </row>
    <row r="53" spans="1:15" ht="15" customHeight="1" x14ac:dyDescent="0.2">
      <c r="A53" s="24">
        <v>10</v>
      </c>
      <c r="B53" s="24">
        <v>17.39</v>
      </c>
      <c r="C53" s="24">
        <v>6.3</v>
      </c>
      <c r="D53" s="24">
        <v>3.72</v>
      </c>
      <c r="E53" s="24">
        <v>9.07</v>
      </c>
      <c r="F53" s="24">
        <v>46.71</v>
      </c>
      <c r="G53" s="24">
        <v>24.44</v>
      </c>
      <c r="H53" s="24">
        <v>92.45</v>
      </c>
      <c r="I53" s="24">
        <v>32.21</v>
      </c>
      <c r="J53" s="24">
        <v>92.45</v>
      </c>
      <c r="K53" s="24">
        <v>32.229999999999997</v>
      </c>
      <c r="L53" s="24">
        <v>87.28</v>
      </c>
      <c r="M53" s="24">
        <v>71.180000000000007</v>
      </c>
      <c r="N53" s="24">
        <v>44.78</v>
      </c>
      <c r="O53" s="24">
        <v>152.76</v>
      </c>
    </row>
    <row r="54" spans="1:15" ht="15" customHeight="1" x14ac:dyDescent="0.2">
      <c r="A54" s="24">
        <v>25</v>
      </c>
      <c r="B54" s="24">
        <v>20.010000000000002</v>
      </c>
      <c r="C54" s="24">
        <v>6.31</v>
      </c>
      <c r="D54" s="24">
        <v>3.84</v>
      </c>
      <c r="E54" s="24">
        <v>9.75</v>
      </c>
      <c r="F54" s="24">
        <v>50.56</v>
      </c>
      <c r="G54" s="24">
        <v>41.5</v>
      </c>
      <c r="H54" s="24">
        <v>119.39</v>
      </c>
      <c r="I54" s="24">
        <v>34.78</v>
      </c>
      <c r="J54" s="24">
        <v>119.39</v>
      </c>
      <c r="K54" s="24">
        <v>34.78</v>
      </c>
      <c r="L54" s="24">
        <v>98.58</v>
      </c>
      <c r="M54" s="24">
        <v>79.28</v>
      </c>
      <c r="N54" s="24">
        <v>48.69</v>
      </c>
      <c r="O54" s="24">
        <v>181.78</v>
      </c>
    </row>
    <row r="55" spans="1:15" ht="15" customHeight="1" x14ac:dyDescent="0.2">
      <c r="A55" s="24">
        <v>50</v>
      </c>
      <c r="B55" s="24">
        <v>23.42</v>
      </c>
      <c r="C55" s="24">
        <v>6.63</v>
      </c>
      <c r="D55" s="24">
        <v>4.0999999999999996</v>
      </c>
      <c r="E55" s="24">
        <v>10.1</v>
      </c>
      <c r="F55" s="24">
        <v>75.86</v>
      </c>
      <c r="G55" s="24">
        <v>77.36</v>
      </c>
      <c r="H55" s="24">
        <v>140.47999999999999</v>
      </c>
      <c r="I55" s="24">
        <v>36.770000000000003</v>
      </c>
      <c r="J55" s="24">
        <v>140.57</v>
      </c>
      <c r="K55" s="24">
        <v>36.770000000000003</v>
      </c>
      <c r="L55" s="24">
        <v>105.88</v>
      </c>
      <c r="M55" s="24">
        <v>78.290000000000006</v>
      </c>
      <c r="N55" s="24">
        <v>54.31</v>
      </c>
      <c r="O55" s="24">
        <v>207.77</v>
      </c>
    </row>
    <row r="56" spans="1:15" ht="15" customHeight="1" x14ac:dyDescent="0.2">
      <c r="A56" s="24">
        <v>100</v>
      </c>
      <c r="B56" s="24">
        <v>28.43</v>
      </c>
      <c r="C56" s="24">
        <v>6.7</v>
      </c>
      <c r="D56" s="24">
        <v>4.22</v>
      </c>
      <c r="E56" s="24">
        <v>11.2</v>
      </c>
      <c r="F56" s="24">
        <v>78.040000000000006</v>
      </c>
      <c r="G56" s="24">
        <v>66.650000000000006</v>
      </c>
      <c r="H56" s="24">
        <v>183.64</v>
      </c>
      <c r="I56" s="24">
        <v>38.9</v>
      </c>
      <c r="J56" s="24">
        <v>183.64</v>
      </c>
      <c r="K56" s="24">
        <v>38.9</v>
      </c>
      <c r="L56" s="24">
        <v>110.68</v>
      </c>
      <c r="M56" s="24">
        <v>88.54</v>
      </c>
      <c r="N56" s="24">
        <v>70.8</v>
      </c>
      <c r="O56" s="24">
        <v>229.93</v>
      </c>
    </row>
    <row r="60" spans="1:15" ht="26" customHeight="1" x14ac:dyDescent="0.2">
      <c r="A60" s="188" t="s">
        <v>695</v>
      </c>
      <c r="B60" s="184"/>
      <c r="C60" s="184"/>
      <c r="D60" s="184"/>
      <c r="E60" s="184"/>
      <c r="F60" s="184"/>
      <c r="G60" s="184"/>
      <c r="H60" s="184"/>
      <c r="I60" s="184"/>
      <c r="J60" s="184"/>
      <c r="K60" s="184"/>
      <c r="L60" s="184"/>
      <c r="M60" s="184"/>
      <c r="N60" s="184"/>
      <c r="O60" s="184"/>
    </row>
    <row r="61" spans="1:15" ht="28" customHeight="1" x14ac:dyDescent="0.2">
      <c r="A61" s="78" t="s">
        <v>682</v>
      </c>
      <c r="B61" s="78" t="s">
        <v>686</v>
      </c>
      <c r="C61" s="78" t="s">
        <v>688</v>
      </c>
      <c r="D61" s="78" t="s">
        <v>696</v>
      </c>
      <c r="E61" s="78" t="s">
        <v>697</v>
      </c>
      <c r="F61" s="78" t="s">
        <v>698</v>
      </c>
      <c r="G61" s="78" t="s">
        <v>699</v>
      </c>
      <c r="H61" s="78" t="s">
        <v>700</v>
      </c>
      <c r="I61" s="78" t="s">
        <v>701</v>
      </c>
      <c r="J61" s="78" t="s">
        <v>702</v>
      </c>
      <c r="K61" s="78" t="s">
        <v>703</v>
      </c>
      <c r="L61" s="78" t="s">
        <v>704</v>
      </c>
      <c r="M61" s="78" t="s">
        <v>685</v>
      </c>
      <c r="N61" s="78" t="s">
        <v>705</v>
      </c>
      <c r="O61" s="78" t="s">
        <v>706</v>
      </c>
    </row>
    <row r="62" spans="1:15" ht="15" customHeight="1" x14ac:dyDescent="0.2">
      <c r="A62" s="24">
        <v>0</v>
      </c>
      <c r="B62" s="24">
        <v>26.66</v>
      </c>
      <c r="C62" s="24">
        <v>18.07</v>
      </c>
      <c r="D62" s="24">
        <v>49.17</v>
      </c>
      <c r="E62" s="24">
        <v>40.5</v>
      </c>
      <c r="F62" s="24">
        <v>31.08</v>
      </c>
      <c r="G62" s="24">
        <v>114.51</v>
      </c>
      <c r="H62" s="24">
        <v>60.09</v>
      </c>
      <c r="I62" s="24">
        <v>20.8</v>
      </c>
      <c r="J62" s="24">
        <v>59.8</v>
      </c>
      <c r="K62" s="24">
        <v>20.8</v>
      </c>
      <c r="L62" s="24">
        <v>73.7</v>
      </c>
      <c r="M62" s="24">
        <v>106.19</v>
      </c>
      <c r="N62" s="24">
        <v>15.17</v>
      </c>
      <c r="O62" s="24">
        <v>36.65</v>
      </c>
    </row>
    <row r="63" spans="1:15" ht="15" customHeight="1" x14ac:dyDescent="0.2">
      <c r="A63" s="24">
        <v>10</v>
      </c>
      <c r="B63" s="24">
        <v>46.71</v>
      </c>
      <c r="C63" s="24">
        <v>24.44</v>
      </c>
      <c r="D63" s="24">
        <v>85.07</v>
      </c>
      <c r="E63" s="24">
        <v>71.180000000000007</v>
      </c>
      <c r="F63" s="24">
        <v>44.78</v>
      </c>
      <c r="G63" s="24">
        <v>152.76</v>
      </c>
      <c r="H63" s="24">
        <v>92.45</v>
      </c>
      <c r="I63" s="24">
        <v>32.21</v>
      </c>
      <c r="J63" s="24">
        <v>92.45</v>
      </c>
      <c r="K63" s="24">
        <v>32.229999999999997</v>
      </c>
      <c r="L63" s="24">
        <v>87.28</v>
      </c>
      <c r="M63" s="24">
        <v>298.10000000000002</v>
      </c>
      <c r="N63" s="24">
        <v>338.61</v>
      </c>
      <c r="O63" s="24">
        <v>74.66</v>
      </c>
    </row>
    <row r="64" spans="1:15" ht="15" customHeight="1" x14ac:dyDescent="0.2">
      <c r="A64" s="24">
        <v>25</v>
      </c>
      <c r="B64" s="24">
        <v>50.56</v>
      </c>
      <c r="C64" s="24">
        <v>41.5</v>
      </c>
      <c r="D64" s="24">
        <v>114.66</v>
      </c>
      <c r="E64" s="24">
        <v>79.28</v>
      </c>
      <c r="F64" s="24">
        <v>48.69</v>
      </c>
      <c r="G64" s="24">
        <v>181.78</v>
      </c>
      <c r="H64" s="24">
        <v>119.39</v>
      </c>
      <c r="I64" s="24">
        <v>34.78</v>
      </c>
      <c r="J64" s="24">
        <v>119.39</v>
      </c>
      <c r="K64" s="24">
        <v>34.78</v>
      </c>
      <c r="L64" s="24">
        <v>98.58</v>
      </c>
      <c r="M64" s="24">
        <v>488.17</v>
      </c>
      <c r="N64" s="24">
        <v>357</v>
      </c>
    </row>
    <row r="65" spans="1:12" ht="15" customHeight="1" x14ac:dyDescent="0.2">
      <c r="A65" s="24">
        <v>50</v>
      </c>
      <c r="B65" s="24">
        <v>75.86</v>
      </c>
      <c r="C65" s="24">
        <v>77.36</v>
      </c>
      <c r="E65" s="24">
        <v>78.290000000000006</v>
      </c>
      <c r="F65" s="24">
        <v>54.31</v>
      </c>
      <c r="G65" s="24">
        <v>207.77</v>
      </c>
      <c r="H65" s="24">
        <v>140.47999999999999</v>
      </c>
      <c r="I65" s="24">
        <v>36.770000000000003</v>
      </c>
      <c r="J65" s="24">
        <v>140.57</v>
      </c>
      <c r="K65" s="24">
        <v>36.770000000000003</v>
      </c>
      <c r="L65" s="24">
        <v>105.88</v>
      </c>
    </row>
    <row r="66" spans="1:12" ht="15" customHeight="1" x14ac:dyDescent="0.2">
      <c r="A66" s="24">
        <v>100</v>
      </c>
      <c r="B66" s="24">
        <v>78.040000000000006</v>
      </c>
      <c r="C66" s="24">
        <v>66.650000000000006</v>
      </c>
      <c r="E66" s="24">
        <v>88.54</v>
      </c>
      <c r="F66" s="24">
        <v>70.8</v>
      </c>
      <c r="G66" s="24">
        <v>229.93</v>
      </c>
      <c r="H66" s="24">
        <v>183.64</v>
      </c>
      <c r="I66" s="24">
        <v>38.9</v>
      </c>
      <c r="J66" s="24">
        <v>183.64</v>
      </c>
      <c r="K66" s="24">
        <v>38.9</v>
      </c>
      <c r="L66" s="24">
        <v>110.68</v>
      </c>
    </row>
  </sheetData>
  <mergeCells count="8">
    <mergeCell ref="A3:F3"/>
    <mergeCell ref="A50:O50"/>
    <mergeCell ref="A1:AN1"/>
    <mergeCell ref="A21:E21"/>
    <mergeCell ref="A60:O60"/>
    <mergeCell ref="A40:I40"/>
    <mergeCell ref="A30:G30"/>
    <mergeCell ref="A12:F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Experiment Log</vt:lpstr>
      <vt:lpstr>Medidas</vt:lpstr>
      <vt:lpstr>Fold Pattern Reference</vt:lpstr>
      <vt:lpstr>Cycle Resistance Tracker</vt:lpstr>
      <vt:lpstr>Literature Reference</vt:lpstr>
      <vt:lpstr>Printer Calibration Log</vt:lpstr>
      <vt:lpstr>GRAPHS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Prieto Vidal, Pablo</cp:lastModifiedBy>
  <cp:revision>4</cp:revision>
  <dcterms:created xsi:type="dcterms:W3CDTF">2026-04-25T12:07:06Z</dcterms:created>
  <dcterms:modified xsi:type="dcterms:W3CDTF">2026-06-09T18:06:12Z</dcterms:modified>
  <dc:language>en-US</dc:language>
</cp:coreProperties>
</file>